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5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albsegalen\Documents\GitHub\P_Secu-114-Gestionnaire-de-mot-de-passe-\"/>
    </mc:Choice>
  </mc:AlternateContent>
  <bookViews>
    <workbookView xWindow="0" yWindow="0" windowWidth="28800" windowHeight="12300" activeTab="7"/>
  </bookViews>
  <sheets>
    <sheet name="Donnees" sheetId="7" r:id="rId1"/>
    <sheet name="Diagramme" sheetId="155" r:id="rId2"/>
    <sheet name="DiagramHeader" sheetId="10" state="hidden" r:id="rId3"/>
    <sheet name="DiagramFooter" sheetId="130" state="hidden" r:id="rId4"/>
    <sheet name="PlanificationWeek" sheetId="11" state="hidden" r:id="rId5"/>
    <sheet name="Planning" sheetId="156" r:id="rId6"/>
    <sheet name="achievementWeek" sheetId="154" state="hidden" r:id="rId7"/>
    <sheet name="JNLTRAV" sheetId="157" r:id="rId8"/>
  </sheets>
  <definedNames>
    <definedName name="datDateBegin">Donnees!$C$9</definedName>
    <definedName name="ListTasks">Diagramme!$B$3:$B$8</definedName>
    <definedName name="lstTasks">Donnees!$C$20:$C$45</definedName>
    <definedName name="NbLessons">Diagramme!$C$3:$C$8</definedName>
    <definedName name="NbPerWeek">Donnees!$C$12</definedName>
    <definedName name="NbQuartPer">Donnees!$C$13</definedName>
    <definedName name="NbWeeks">Donnees!$C$11</definedName>
    <definedName name="objFooterDiagram">DiagramFooter!$B$3:$C$4</definedName>
    <definedName name="objPlanifWeek" localSheetId="5">Planning!$A$1:$D$14</definedName>
    <definedName name="objPlanifWeek">PlanificationWeek!$A$1:$D$14</definedName>
    <definedName name="objRealizedWeek" localSheetId="6">achievementWeek!$A$1:$D$19</definedName>
    <definedName name="objRealizedWeek" localSheetId="7">JNLTRAV!$A$1:$D$19</definedName>
    <definedName name="_xlnm.Print_Area" localSheetId="0">Donnees!$A$1:$G$47</definedName>
  </definedNames>
  <calcPr calcId="162913"/>
  <customWorkbookViews>
    <customWorkbookView name="Gilbert Gruaz - Affichage personnalisé" guid="{4120A410-7ADA-42AD-8010-013327A2ECF1}" mergeInterval="0" personalView="1" maximized="1" windowWidth="1916" windowHeight="821" activeSheetId="4"/>
  </customWorkbookViews>
</workbook>
</file>

<file path=xl/calcChain.xml><?xml version="1.0" encoding="utf-8"?>
<calcChain xmlns="http://schemas.openxmlformats.org/spreadsheetml/2006/main">
  <c r="D134" i="157" l="1"/>
  <c r="D115" i="157"/>
  <c r="D96" i="157"/>
  <c r="D77" i="157"/>
  <c r="D58" i="157"/>
  <c r="D39" i="157"/>
  <c r="D20" i="157"/>
  <c r="D1" i="157"/>
  <c r="B151" i="157"/>
  <c r="B132" i="157"/>
  <c r="B113" i="157"/>
  <c r="B94" i="157"/>
  <c r="B75" i="157"/>
  <c r="B56" i="157"/>
  <c r="B37" i="157"/>
  <c r="B18" i="157"/>
  <c r="B111" i="156"/>
  <c r="B97" i="156"/>
  <c r="B83" i="156"/>
  <c r="B69" i="156"/>
  <c r="B55" i="156"/>
  <c r="B41" i="156"/>
  <c r="B27" i="156"/>
  <c r="B13" i="156"/>
  <c r="B7" i="155"/>
  <c r="B5" i="155"/>
  <c r="C10" i="155"/>
  <c r="C9" i="155"/>
  <c r="B18" i="154" l="1"/>
  <c r="B13" i="11" l="1"/>
</calcChain>
</file>

<file path=xl/sharedStrings.xml><?xml version="1.0" encoding="utf-8"?>
<sst xmlns="http://schemas.openxmlformats.org/spreadsheetml/2006/main" count="212" uniqueCount="60">
  <si>
    <t>Module :</t>
  </si>
  <si>
    <t>Classe :</t>
  </si>
  <si>
    <t>Lieu :</t>
  </si>
  <si>
    <t>Tâche</t>
  </si>
  <si>
    <t>Prénom - nom :</t>
  </si>
  <si>
    <t>Tâches - objectifs</t>
  </si>
  <si>
    <t xml:space="preserve"> 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</si>
  <si>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</si>
  <si>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Date Fin:</t>
  </si>
  <si>
    <t>Date Début :</t>
  </si>
  <si>
    <t>Nombre de semaines:</t>
  </si>
  <si>
    <t>Nombre de Périodes/Semaine :</t>
  </si>
  <si>
    <t>Nombre de 1/4 heure/Période:</t>
  </si>
  <si>
    <t>Liens, références, …</t>
  </si>
  <si>
    <t>Semaine</t>
  </si>
  <si>
    <t>Durée
[1/4 h.]</t>
  </si>
  <si>
    <t>Total planifié</t>
  </si>
  <si>
    <t>Total réalisé</t>
  </si>
  <si>
    <t>Nb 1/4 heure</t>
  </si>
  <si>
    <t>Liste des tâches</t>
  </si>
  <si>
    <t>Tâche obligatoire:</t>
  </si>
  <si>
    <t>Absence - Imprévus</t>
  </si>
  <si>
    <t>Total semaine</t>
  </si>
  <si>
    <t>Début:</t>
  </si>
  <si>
    <t>P_Secu 114</t>
  </si>
  <si>
    <t>Alban Segalen</t>
  </si>
  <si>
    <t>mid2b</t>
  </si>
  <si>
    <t>Sébeillon</t>
  </si>
  <si>
    <t>Code</t>
  </si>
  <si>
    <t>Rapport</t>
  </si>
  <si>
    <t>S 1</t>
  </si>
  <si>
    <t>S 2</t>
  </si>
  <si>
    <t>S 3</t>
  </si>
  <si>
    <t>S 4</t>
  </si>
  <si>
    <t>S 5</t>
  </si>
  <si>
    <t>S 6</t>
  </si>
  <si>
    <t>S 7</t>
  </si>
  <si>
    <t>S 8</t>
  </si>
  <si>
    <t>Max. 12</t>
  </si>
  <si>
    <t>STOP</t>
  </si>
  <si>
    <t>Implémentation de l'algorithme de chiffrement et de dechiffrement</t>
  </si>
  <si>
    <t>Passage à windows forms</t>
  </si>
  <si>
    <t>Ajout d'une classe entryButton pour l'affichage de la liste des mdp</t>
  </si>
  <si>
    <t>Affichage de la liste des mots de passes</t>
  </si>
  <si>
    <t>Ajout à la liste des mdp</t>
  </si>
  <si>
    <t>Affichage de l'entrée dans le formulaire principal, en utilisant un mdiContainer</t>
  </si>
  <si>
    <t>Fichier de sauvegarde des mots de passes, écran de chargement</t>
  </si>
  <si>
    <t>Avancer le rapport</t>
  </si>
  <si>
    <t>TF1</t>
  </si>
  <si>
    <t>Pouvoir voir le mdp quand on clique sur l'oeuil</t>
  </si>
  <si>
    <t>Les mdp ont maintenant un titre</t>
  </si>
  <si>
    <t>Meilleur fichier de sauvegarde : le json contient le masterPassword et la liste de mot de passe. Le master password est demandé à l'ouverture de l'application</t>
  </si>
  <si>
    <t>Le mot de passe n'est pas visible par défaut quand l'entrée s'affiche. Le titre de l'entrée s'affiche. Les icones change quand on clique dessus</t>
  </si>
  <si>
    <t>Partie encodage</t>
  </si>
  <si>
    <t>Correction du fichier de sauvegarde</t>
  </si>
  <si>
    <t>Menu de navigation, barre de scroll</t>
  </si>
  <si>
    <t>Journal de travail</t>
  </si>
  <si>
    <t>On peut modifier les mots de passe sur l'écran d'affichage</t>
  </si>
  <si>
    <t>Cacher la zone de saisie de mdp sur l'écran d'affichage</t>
  </si>
  <si>
    <t>Changement de l'alogirthme de sauvergarde (saveFile et readFile)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</si>
</sst>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F800]dddd\,\ mmmm\ dd\,\ yyyy"/>
  </numFmts>
  <fonts count="20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4"/>
      <name val="Verdana"/>
      <family val="2"/>
    </font>
    <font>
      <b/>
      <sz val="14"/>
      <name val="Verdana"/>
      <family val="2"/>
    </font>
    <font>
      <sz val="10"/>
      <name val="Arial"/>
      <family val="2"/>
    </font>
    <font>
      <sz val="10"/>
      <color theme="1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14"/>
      <name val="Century Gothic"/>
      <family val="2"/>
      <scheme val="minor"/>
    </font>
    <font>
      <sz val="10"/>
      <name val="Century Gothic"/>
      <family val="2"/>
      <scheme val="minor"/>
    </font>
    <font>
      <b/>
      <sz val="10"/>
      <name val="Century Gothic"/>
      <family val="2"/>
      <scheme val="minor"/>
    </font>
    <font>
      <sz val="9"/>
      <name val="Century Gothic"/>
      <family val="2"/>
      <scheme val="minor"/>
    </font>
    <font>
      <b/>
      <sz val="9"/>
      <name val="Century Gothic"/>
      <family val="2"/>
      <scheme val="minor"/>
    </font>
    <font>
      <i/>
      <sz val="10"/>
      <name val="Arial"/>
      <family val="2"/>
    </font>
    <font>
      <sz val="10"/>
      <color rgb="FFFF0000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sz val="12"/>
      <name val="Century Gothic"/>
      <family val="2"/>
      <scheme val="minor"/>
    </font>
    <font>
      <sz val="14"/>
      <name val="Century Gothic"/>
      <family val="2"/>
      <scheme val="minor"/>
    </font>
    <font>
      <b/>
      <sz val="18"/>
      <name val="Century Gothic"/>
      <family val="2"/>
      <scheme val="minor"/>
    </font>
    <font>
      <sz val="10"/>
      <color theme="0"/>
      <name val="Century Gothic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39994506668294322"/>
        <bgColor indexed="64"/>
      </patternFill>
    </fill>
  </fills>
  <borders count="47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dashed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hair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4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  <xf numFmtId="0" fontId="8" fillId="0" borderId="0"/>
    <xf numFmtId="0" fontId="5" fillId="0" borderId="0"/>
  </cellStyleXfs>
  <cellXfs count="127">
    <xf numFmtId="0" fontId="0" fillId="0" borderId="0" xfId="0"/>
    <xf numFmtId="0" fontId="8" fillId="0" borderId="2" xfId="1" applyFont="1" applyFill="1" applyBorder="1" applyAlignment="1" applyProtection="1">
      <alignment horizontal="center" vertical="center" wrapText="1"/>
      <protection locked="0"/>
    </xf>
    <xf numFmtId="0" fontId="8" fillId="0" borderId="2" xfId="0" applyFont="1" applyFill="1" applyBorder="1" applyAlignment="1" applyProtection="1">
      <alignment horizontal="center" vertical="center" wrapText="1"/>
      <protection locked="0"/>
    </xf>
    <xf numFmtId="0" fontId="8" fillId="0" borderId="3" xfId="0" applyFont="1" applyFill="1" applyBorder="1" applyAlignment="1" applyProtection="1">
      <alignment horizontal="center" vertical="center" wrapText="1"/>
      <protection locked="0"/>
    </xf>
    <xf numFmtId="0" fontId="8" fillId="0" borderId="1" xfId="0" applyFont="1" applyFill="1" applyBorder="1" applyAlignment="1" applyProtection="1">
      <alignment horizontal="center" vertical="center" wrapText="1"/>
      <protection locked="0"/>
    </xf>
    <xf numFmtId="0" fontId="8" fillId="0" borderId="1" xfId="1" applyFont="1" applyFill="1" applyBorder="1" applyAlignment="1" applyProtection="1">
      <alignment horizontal="center" vertical="center" wrapText="1"/>
      <protection locked="0"/>
    </xf>
    <xf numFmtId="0" fontId="6" fillId="2" borderId="14" xfId="0" applyFont="1" applyFill="1" applyBorder="1" applyAlignment="1" applyProtection="1">
      <alignment horizontal="center" vertical="center"/>
    </xf>
    <xf numFmtId="0" fontId="7" fillId="2" borderId="12" xfId="0" quotePrefix="1" applyNumberFormat="1" applyFont="1" applyFill="1" applyBorder="1" applyAlignment="1" applyProtection="1">
      <alignment horizontal="centerContinuous" vertical="center"/>
    </xf>
    <xf numFmtId="0" fontId="6" fillId="3" borderId="15" xfId="0" applyFont="1" applyFill="1" applyBorder="1" applyAlignment="1" applyProtection="1">
      <alignment horizontal="center" vertical="center"/>
    </xf>
    <xf numFmtId="0" fontId="8" fillId="0" borderId="1" xfId="0" applyFont="1" applyFill="1" applyBorder="1" applyAlignment="1" applyProtection="1">
      <alignment horizontal="left" vertical="top" wrapText="1"/>
      <protection locked="0"/>
    </xf>
    <xf numFmtId="0" fontId="8" fillId="0" borderId="2" xfId="0" applyFont="1" applyFill="1" applyBorder="1" applyAlignment="1" applyProtection="1">
      <alignment horizontal="left" vertical="top" wrapText="1"/>
      <protection locked="0"/>
    </xf>
    <xf numFmtId="0" fontId="8" fillId="0" borderId="3" xfId="0" applyFont="1" applyFill="1" applyBorder="1" applyAlignment="1" applyProtection="1">
      <alignment horizontal="left" vertical="top" wrapText="1"/>
      <protection locked="0"/>
    </xf>
    <xf numFmtId="0" fontId="8" fillId="4" borderId="15" xfId="0" applyFont="1" applyFill="1" applyBorder="1" applyAlignment="1" applyProtection="1">
      <alignment horizontal="center" vertical="center" wrapText="1"/>
    </xf>
    <xf numFmtId="0" fontId="8" fillId="4" borderId="13" xfId="0" applyFont="1" applyFill="1" applyBorder="1" applyAlignment="1" applyProtection="1">
      <alignment horizontal="left" vertical="top" wrapText="1"/>
    </xf>
    <xf numFmtId="0" fontId="10" fillId="5" borderId="0" xfId="0" applyFont="1" applyFill="1" applyAlignment="1" applyProtection="1">
      <alignment horizontal="center"/>
    </xf>
    <xf numFmtId="0" fontId="3" fillId="6" borderId="15" xfId="0" applyFont="1" applyFill="1" applyBorder="1" applyAlignment="1" applyProtection="1">
      <alignment horizontal="center" vertical="center" wrapText="1"/>
    </xf>
    <xf numFmtId="1" fontId="2" fillId="7" borderId="27" xfId="0" applyNumberFormat="1" applyFont="1" applyFill="1" applyBorder="1" applyAlignment="1" applyProtection="1">
      <alignment horizontal="center" vertical="center"/>
    </xf>
    <xf numFmtId="0" fontId="6" fillId="2" borderId="14" xfId="0" applyFont="1" applyFill="1" applyBorder="1" applyAlignment="1" applyProtection="1">
      <alignment horizontal="right" vertical="center"/>
    </xf>
    <xf numFmtId="0" fontId="11" fillId="3" borderId="15" xfId="0" applyFont="1" applyFill="1" applyBorder="1" applyAlignment="1" applyProtection="1">
      <alignment horizontal="center" vertical="center" wrapText="1"/>
    </xf>
    <xf numFmtId="0" fontId="0" fillId="9" borderId="9" xfId="0" applyFill="1" applyBorder="1"/>
    <xf numFmtId="0" fontId="0" fillId="9" borderId="0" xfId="0" applyFill="1" applyBorder="1"/>
    <xf numFmtId="0" fontId="0" fillId="9" borderId="5" xfId="0" applyFill="1" applyBorder="1"/>
    <xf numFmtId="1" fontId="2" fillId="7" borderId="28" xfId="0" applyNumberFormat="1" applyFont="1" applyFill="1" applyBorder="1" applyAlignment="1" applyProtection="1">
      <alignment horizontal="center" vertical="center"/>
    </xf>
    <xf numFmtId="0" fontId="3" fillId="6" borderId="15" xfId="0" applyFont="1" applyFill="1" applyBorder="1" applyAlignment="1" applyProtection="1">
      <alignment horizontal="center" vertical="center"/>
    </xf>
    <xf numFmtId="0" fontId="12" fillId="0" borderId="0" xfId="0" applyFont="1"/>
    <xf numFmtId="0" fontId="3" fillId="10" borderId="30" xfId="0" applyFont="1" applyFill="1" applyBorder="1" applyAlignment="1" applyProtection="1">
      <alignment horizontal="right" vertical="center" wrapText="1" indent="1"/>
    </xf>
    <xf numFmtId="0" fontId="3" fillId="10" borderId="31" xfId="0" applyFont="1" applyFill="1" applyBorder="1" applyAlignment="1" applyProtection="1">
      <alignment horizontal="right" vertical="center" indent="1"/>
    </xf>
    <xf numFmtId="1" fontId="3" fillId="10" borderId="29" xfId="0" applyNumberFormat="1" applyFont="1" applyFill="1" applyBorder="1" applyAlignment="1" applyProtection="1">
      <alignment horizontal="center" vertical="center"/>
    </xf>
    <xf numFmtId="1" fontId="3" fillId="10" borderId="32" xfId="0" applyNumberFormat="1" applyFont="1" applyFill="1" applyBorder="1" applyAlignment="1" applyProtection="1">
      <alignment horizontal="center" vertical="center"/>
    </xf>
    <xf numFmtId="0" fontId="0" fillId="9" borderId="0" xfId="0" applyFill="1"/>
    <xf numFmtId="0" fontId="0" fillId="9" borderId="8" xfId="0" applyFill="1" applyBorder="1"/>
    <xf numFmtId="0" fontId="6" fillId="9" borderId="0" xfId="0" applyFont="1" applyFill="1" applyBorder="1" applyAlignment="1" applyProtection="1">
      <alignment horizontal="center" vertical="center"/>
    </xf>
    <xf numFmtId="0" fontId="7" fillId="9" borderId="0" xfId="0" quotePrefix="1" applyNumberFormat="1" applyFont="1" applyFill="1" applyBorder="1" applyAlignment="1" applyProtection="1">
      <alignment horizontal="centerContinuous" vertical="center"/>
    </xf>
    <xf numFmtId="0" fontId="6" fillId="9" borderId="0" xfId="0" applyFont="1" applyFill="1" applyBorder="1" applyAlignment="1" applyProtection="1">
      <alignment horizontal="right" vertical="center"/>
    </xf>
    <xf numFmtId="0" fontId="7" fillId="9" borderId="0" xfId="0" applyNumberFormat="1" applyFont="1" applyFill="1" applyBorder="1" applyAlignment="1" applyProtection="1">
      <alignment horizontal="left" vertical="center"/>
    </xf>
    <xf numFmtId="0" fontId="11" fillId="9" borderId="0" xfId="0" applyFont="1" applyFill="1" applyBorder="1" applyAlignment="1" applyProtection="1">
      <alignment horizontal="center" vertical="center" wrapText="1"/>
    </xf>
    <xf numFmtId="0" fontId="8" fillId="9" borderId="0" xfId="1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  <protection locked="0"/>
    </xf>
    <xf numFmtId="0" fontId="8" fillId="9" borderId="0" xfId="0" applyFont="1" applyFill="1" applyBorder="1" applyAlignment="1" applyProtection="1">
      <alignment horizontal="left" vertical="top" wrapText="1"/>
      <protection locked="0"/>
    </xf>
    <xf numFmtId="0" fontId="8" fillId="9" borderId="0" xfId="0" applyFont="1" applyFill="1" applyBorder="1" applyAlignment="1" applyProtection="1">
      <alignment horizontal="center" vertical="center" wrapText="1"/>
    </xf>
    <xf numFmtId="0" fontId="8" fillId="9" borderId="0" xfId="0" applyFont="1" applyFill="1" applyBorder="1" applyAlignment="1" applyProtection="1">
      <alignment horizontal="left" vertical="top" wrapText="1"/>
    </xf>
    <xf numFmtId="0" fontId="10" fillId="9" borderId="0" xfId="0" applyFont="1" applyFill="1" applyBorder="1" applyAlignment="1" applyProtection="1">
      <alignment horizontal="center"/>
    </xf>
    <xf numFmtId="0" fontId="4" fillId="9" borderId="0" xfId="0" applyFont="1" applyFill="1"/>
    <xf numFmtId="0" fontId="6" fillId="13" borderId="14" xfId="0" applyFont="1" applyFill="1" applyBorder="1" applyAlignment="1" applyProtection="1">
      <alignment horizontal="center" vertical="center"/>
    </xf>
    <xf numFmtId="0" fontId="7" fillId="13" borderId="12" xfId="0" quotePrefix="1" applyNumberFormat="1" applyFont="1" applyFill="1" applyBorder="1" applyAlignment="1" applyProtection="1">
      <alignment horizontal="centerContinuous" vertical="center"/>
    </xf>
    <xf numFmtId="0" fontId="6" fillId="13" borderId="14" xfId="0" applyFont="1" applyFill="1" applyBorder="1" applyAlignment="1" applyProtection="1">
      <alignment horizontal="right" vertical="center"/>
    </xf>
    <xf numFmtId="0" fontId="6" fillId="12" borderId="15" xfId="0" applyFont="1" applyFill="1" applyBorder="1" applyAlignment="1" applyProtection="1">
      <alignment horizontal="center" vertical="center"/>
    </xf>
    <xf numFmtId="0" fontId="11" fillId="12" borderId="15" xfId="0" applyFont="1" applyFill="1" applyBorder="1" applyAlignment="1" applyProtection="1">
      <alignment horizontal="center" vertical="center" wrapText="1"/>
    </xf>
    <xf numFmtId="0" fontId="8" fillId="12" borderId="15" xfId="0" applyFont="1" applyFill="1" applyBorder="1" applyAlignment="1" applyProtection="1">
      <alignment horizontal="center" vertical="center" wrapText="1"/>
    </xf>
    <xf numFmtId="0" fontId="8" fillId="12" borderId="13" xfId="0" applyFont="1" applyFill="1" applyBorder="1" applyAlignment="1" applyProtection="1">
      <alignment horizontal="left" vertical="top" wrapText="1"/>
    </xf>
    <xf numFmtId="0" fontId="10" fillId="11" borderId="0" xfId="0" applyFont="1" applyFill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 vertical="center" wrapText="1"/>
      <protection locked="0"/>
    </xf>
    <xf numFmtId="0" fontId="8" fillId="0" borderId="33" xfId="0" applyFont="1" applyFill="1" applyBorder="1" applyAlignment="1" applyProtection="1">
      <alignment horizontal="left" vertical="top" wrapText="1"/>
      <protection locked="0"/>
    </xf>
    <xf numFmtId="0" fontId="0" fillId="9" borderId="0" xfId="0" applyFill="1" applyProtection="1">
      <protection locked="0"/>
    </xf>
    <xf numFmtId="164" fontId="7" fillId="13" borderId="13" xfId="0" applyNumberFormat="1" applyFont="1" applyFill="1" applyBorder="1" applyAlignment="1" applyProtection="1">
      <alignment horizontal="left" vertical="center"/>
      <protection locked="0"/>
    </xf>
    <xf numFmtId="0" fontId="13" fillId="9" borderId="6" xfId="0" applyFont="1" applyFill="1" applyBorder="1"/>
    <xf numFmtId="0" fontId="8" fillId="9" borderId="4" xfId="0" applyFont="1" applyFill="1" applyBorder="1"/>
    <xf numFmtId="0" fontId="8" fillId="9" borderId="7" xfId="0" applyFont="1" applyFill="1" applyBorder="1"/>
    <xf numFmtId="0" fontId="8" fillId="0" borderId="0" xfId="0" applyFont="1"/>
    <xf numFmtId="0" fontId="13" fillId="9" borderId="8" xfId="0" applyFont="1" applyFill="1" applyBorder="1"/>
    <xf numFmtId="0" fontId="8" fillId="9" borderId="0" xfId="0" applyFont="1" applyFill="1" applyBorder="1"/>
    <xf numFmtId="0" fontId="8" fillId="9" borderId="9" xfId="0" applyFont="1" applyFill="1" applyBorder="1"/>
    <xf numFmtId="0" fontId="14" fillId="6" borderId="16" xfId="0" applyFont="1" applyFill="1" applyBorder="1" applyAlignment="1" applyProtection="1">
      <alignment vertical="center"/>
    </xf>
    <xf numFmtId="0" fontId="15" fillId="8" borderId="21" xfId="0" applyFont="1" applyFill="1" applyBorder="1" applyAlignment="1" applyProtection="1">
      <alignment horizontal="left" vertical="center" indent="2"/>
      <protection locked="0"/>
    </xf>
    <xf numFmtId="0" fontId="14" fillId="6" borderId="17" xfId="0" applyFont="1" applyFill="1" applyBorder="1" applyAlignment="1" applyProtection="1">
      <alignment vertical="center"/>
    </xf>
    <xf numFmtId="0" fontId="15" fillId="8" borderId="22" xfId="0" applyFont="1" applyFill="1" applyBorder="1" applyAlignment="1" applyProtection="1">
      <alignment horizontal="left" vertical="center" indent="2"/>
      <protection locked="0"/>
    </xf>
    <xf numFmtId="0" fontId="14" fillId="6" borderId="18" xfId="0" applyFont="1" applyFill="1" applyBorder="1" applyAlignment="1" applyProtection="1">
      <alignment vertical="center"/>
    </xf>
    <xf numFmtId="0" fontId="15" fillId="8" borderId="23" xfId="0" applyFont="1" applyFill="1" applyBorder="1" applyAlignment="1" applyProtection="1">
      <alignment horizontal="left" vertical="center" indent="2"/>
      <protection locked="0"/>
    </xf>
    <xf numFmtId="164" fontId="15" fillId="8" borderId="21" xfId="0" applyNumberFormat="1" applyFont="1" applyFill="1" applyBorder="1" applyAlignment="1" applyProtection="1">
      <alignment horizontal="left" vertical="center" indent="2"/>
      <protection locked="0"/>
    </xf>
    <xf numFmtId="0" fontId="14" fillId="6" borderId="24" xfId="0" applyFont="1" applyFill="1" applyBorder="1" applyAlignment="1" applyProtection="1">
      <alignment vertical="center"/>
    </xf>
    <xf numFmtId="164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5" xfId="0" applyNumberFormat="1" applyFont="1" applyFill="1" applyBorder="1" applyAlignment="1" applyProtection="1">
      <alignment horizontal="left" vertical="center" indent="2"/>
      <protection locked="0"/>
    </xf>
    <xf numFmtId="1" fontId="15" fillId="8" borderId="22" xfId="0" applyNumberFormat="1" applyFont="1" applyFill="1" applyBorder="1" applyAlignment="1" applyProtection="1">
      <alignment horizontal="left" vertical="center" indent="2"/>
      <protection locked="0"/>
    </xf>
    <xf numFmtId="0" fontId="15" fillId="6" borderId="10" xfId="0" applyFont="1" applyFill="1" applyBorder="1" applyAlignment="1" applyProtection="1">
      <alignment vertical="center"/>
    </xf>
    <xf numFmtId="0" fontId="15" fillId="8" borderId="26" xfId="0" applyFont="1" applyFill="1" applyBorder="1" applyAlignment="1" applyProtection="1">
      <alignment vertical="center"/>
    </xf>
    <xf numFmtId="0" fontId="13" fillId="9" borderId="10" xfId="0" applyFont="1" applyFill="1" applyBorder="1"/>
    <xf numFmtId="0" fontId="8" fillId="9" borderId="5" xfId="0" applyFont="1" applyFill="1" applyBorder="1"/>
    <xf numFmtId="0" fontId="8" fillId="9" borderId="11" xfId="0" applyFont="1" applyFill="1" applyBorder="1"/>
    <xf numFmtId="0" fontId="8" fillId="9" borderId="6" xfId="0" applyFont="1" applyFill="1" applyBorder="1"/>
    <xf numFmtId="0" fontId="8" fillId="9" borderId="8" xfId="0" applyFont="1" applyFill="1" applyBorder="1"/>
    <xf numFmtId="0" fontId="14" fillId="6" borderId="24" xfId="0" applyFont="1" applyFill="1" applyBorder="1" applyAlignment="1" applyProtection="1">
      <alignment horizontal="right" vertical="center"/>
    </xf>
    <xf numFmtId="164" fontId="15" fillId="6" borderId="25" xfId="0" applyNumberFormat="1" applyFont="1" applyFill="1" applyBorder="1" applyAlignment="1" applyProtection="1">
      <alignment horizontal="left" vertical="center" indent="2"/>
    </xf>
    <xf numFmtId="0" fontId="14" fillId="6" borderId="17" xfId="0" applyFont="1" applyFill="1" applyBorder="1" applyAlignment="1" applyProtection="1">
      <alignment horizontal="right" vertical="center"/>
    </xf>
    <xf numFmtId="0" fontId="8" fillId="0" borderId="0" xfId="0" applyFont="1" applyFill="1" applyBorder="1"/>
    <xf numFmtId="0" fontId="14" fillId="6" borderId="8" xfId="0" applyFont="1" applyFill="1" applyBorder="1" applyAlignment="1" applyProtection="1">
      <alignment horizontal="right" vertical="center"/>
    </xf>
    <xf numFmtId="1" fontId="15" fillId="8" borderId="23" xfId="0" applyNumberFormat="1" applyFont="1" applyFill="1" applyBorder="1" applyAlignment="1" applyProtection="1">
      <alignment horizontal="left" vertical="center" indent="2"/>
      <protection locked="0"/>
    </xf>
    <xf numFmtId="0" fontId="8" fillId="9" borderId="10" xfId="0" applyFont="1" applyFill="1" applyBorder="1"/>
    <xf numFmtId="0" fontId="7" fillId="2" borderId="13" xfId="0" applyNumberFormat="1" applyFont="1" applyFill="1" applyBorder="1" applyAlignment="1" applyProtection="1">
      <alignment horizontal="left" vertical="center"/>
      <protection locked="0"/>
    </xf>
    <xf numFmtId="0" fontId="0" fillId="9" borderId="0" xfId="0" applyFill="1" applyProtection="1"/>
    <xf numFmtId="0" fontId="0" fillId="9" borderId="5" xfId="0" applyFill="1" applyBorder="1" applyProtection="1"/>
    <xf numFmtId="0" fontId="0" fillId="9" borderId="9" xfId="0" applyFill="1" applyBorder="1" applyProtection="1"/>
    <xf numFmtId="0" fontId="0" fillId="9" borderId="36" xfId="0" applyFill="1" applyBorder="1" applyProtection="1"/>
    <xf numFmtId="0" fontId="0" fillId="9" borderId="37" xfId="0" applyFill="1" applyBorder="1" applyProtection="1"/>
    <xf numFmtId="0" fontId="0" fillId="9" borderId="38" xfId="0" applyFill="1" applyBorder="1" applyProtection="1"/>
    <xf numFmtId="0" fontId="0" fillId="9" borderId="39" xfId="0" applyFill="1" applyBorder="1" applyProtection="1"/>
    <xf numFmtId="0" fontId="0" fillId="9" borderId="40" xfId="0" applyFill="1" applyBorder="1" applyProtection="1"/>
    <xf numFmtId="0" fontId="0" fillId="9" borderId="41" xfId="0" applyFill="1" applyBorder="1" applyProtection="1"/>
    <xf numFmtId="0" fontId="0" fillId="9" borderId="42" xfId="0" applyFill="1" applyBorder="1" applyProtection="1"/>
    <xf numFmtId="0" fontId="0" fillId="9" borderId="43" xfId="0" applyFill="1" applyBorder="1" applyProtection="1"/>
    <xf numFmtId="0" fontId="0" fillId="9" borderId="44" xfId="0" applyFill="1" applyBorder="1" applyProtection="1"/>
    <xf numFmtId="0" fontId="0" fillId="9" borderId="45" xfId="0" applyFill="1" applyBorder="1" applyProtection="1"/>
    <xf numFmtId="0" fontId="17" fillId="14" borderId="29" xfId="0" applyFont="1" applyFill="1" applyBorder="1" applyAlignment="1" applyProtection="1">
      <alignment horizontal="center" vertical="center"/>
    </xf>
    <xf numFmtId="0" fontId="17" fillId="14" borderId="28" xfId="0" applyFont="1" applyFill="1" applyBorder="1" applyAlignment="1" applyProtection="1">
      <alignment horizontal="center" vertical="center"/>
    </xf>
    <xf numFmtId="0" fontId="0" fillId="10" borderId="30" xfId="0" applyFill="1" applyBorder="1" applyProtection="1"/>
    <xf numFmtId="0" fontId="0" fillId="10" borderId="34" xfId="0" applyFill="1" applyBorder="1" applyProtection="1"/>
    <xf numFmtId="0" fontId="0" fillId="10" borderId="46" xfId="0" applyFill="1" applyBorder="1" applyProtection="1"/>
    <xf numFmtId="0" fontId="0" fillId="10" borderId="10" xfId="0" applyFill="1" applyBorder="1" applyProtection="1"/>
    <xf numFmtId="0" fontId="0" fillId="10" borderId="5" xfId="0" applyFill="1" applyBorder="1" applyProtection="1"/>
    <xf numFmtId="0" fontId="0" fillId="10" borderId="11" xfId="0" applyFill="1" applyBorder="1" applyProtection="1"/>
    <xf numFmtId="0" fontId="0" fillId="9" borderId="0" xfId="0" applyFill="1" applyBorder="1" applyProtection="1"/>
    <xf numFmtId="0" fontId="4" fillId="9" borderId="0" xfId="0" applyFont="1" applyFill="1" applyProtection="1"/>
    <xf numFmtId="0" fontId="9" fillId="4" borderId="13" xfId="0" applyFont="1" applyFill="1" applyBorder="1" applyAlignment="1" applyProtection="1">
      <alignment horizontal="left" vertical="top" wrapText="1"/>
    </xf>
    <xf numFmtId="0" fontId="19" fillId="9" borderId="0" xfId="0" applyFont="1" applyFill="1"/>
    <xf numFmtId="0" fontId="9" fillId="12" borderId="13" xfId="0" applyFont="1" applyFill="1" applyBorder="1" applyAlignment="1" applyProtection="1">
      <alignment horizontal="left" vertical="top" wrapText="1"/>
    </xf>
    <xf numFmtId="0" fontId="0" fillId="0" borderId="1" xfId="0" applyFont="1" applyFill="1" applyBorder="1" applyAlignment="1" applyProtection="1">
      <alignment horizontal="left" vertical="top" wrapText="1"/>
      <protection locked="0"/>
    </xf>
    <xf numFmtId="0" fontId="0" fillId="0" borderId="2" xfId="0" applyFont="1" applyFill="1" applyBorder="1" applyAlignment="1" applyProtection="1">
      <alignment horizontal="left" vertical="top" wrapText="1"/>
      <protection locked="0"/>
    </xf>
    <xf numFmtId="0" fontId="14" fillId="6" borderId="14" xfId="0" applyFont="1" applyFill="1" applyBorder="1" applyAlignment="1" applyProtection="1">
      <alignment horizontal="center" vertical="center"/>
    </xf>
    <xf numFmtId="0" fontId="14" fillId="6" borderId="13" xfId="0" applyFont="1" applyFill="1" applyBorder="1" applyAlignment="1" applyProtection="1">
      <alignment horizontal="center" vertical="center"/>
    </xf>
    <xf numFmtId="0" fontId="18" fillId="9" borderId="14" xfId="0" applyFont="1" applyFill="1" applyBorder="1" applyAlignment="1" applyProtection="1">
      <alignment horizontal="center" vertical="center"/>
    </xf>
    <xf numFmtId="0" fontId="18" fillId="9" borderId="12" xfId="0" applyFont="1" applyFill="1" applyBorder="1" applyAlignment="1" applyProtection="1">
      <alignment horizontal="center" vertical="center"/>
    </xf>
    <xf numFmtId="0" fontId="18" fillId="9" borderId="13" xfId="0" applyFont="1" applyFill="1" applyBorder="1" applyAlignment="1" applyProtection="1">
      <alignment horizontal="center" vertical="center"/>
    </xf>
    <xf numFmtId="0" fontId="2" fillId="7" borderId="20" xfId="0" applyFont="1" applyFill="1" applyBorder="1" applyAlignment="1" applyProtection="1">
      <alignment horizontal="left" vertical="center" indent="1"/>
    </xf>
    <xf numFmtId="0" fontId="0" fillId="7" borderId="19" xfId="0" applyFill="1" applyBorder="1" applyProtection="1"/>
    <xf numFmtId="0" fontId="16" fillId="6" borderId="35" xfId="0" applyFont="1" applyFill="1" applyBorder="1" applyAlignment="1" applyProtection="1">
      <alignment vertical="center"/>
    </xf>
    <xf numFmtId="0" fontId="16" fillId="6" borderId="19" xfId="0" applyFont="1" applyFill="1" applyBorder="1" applyAlignment="1" applyProtection="1">
      <alignment vertical="center"/>
    </xf>
    <xf numFmtId="1" fontId="16" fillId="6" borderId="35" xfId="0" applyNumberFormat="1" applyFont="1" applyFill="1" applyBorder="1" applyAlignment="1" applyProtection="1">
      <alignment vertical="center"/>
    </xf>
    <xf numFmtId="0" fontId="0" fillId="7" borderId="19" xfId="0" applyFill="1" applyBorder="1"/>
  </cellXfs>
  <cellStyles count="4">
    <cellStyle name="Lien hypertexte" xfId="1" builtinId="8"/>
    <cellStyle name="Normal" xfId="0" builtinId="0" customBuiltin="1"/>
    <cellStyle name="Normal 2" xfId="2"/>
    <cellStyle name="Normal 2 2" xfId="3"/>
  </cellStyles>
  <dxfs count="0"/>
  <tableStyles count="0" defaultTableStyle="TableStyleMedium9" defaultPivotStyle="PivotStyleLight16"/>
  <colors>
    <mruColors>
      <color rgb="FF28663D"/>
      <color rgb="FF1B952A"/>
      <color rgb="FF20B23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jpe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1</xdr:row>
          <xdr:rowOff>161925</xdr:rowOff>
        </xdr:from>
        <xdr:to>
          <xdr:col>6</xdr:col>
          <xdr:colOff>76200</xdr:colOff>
          <xdr:row>3</xdr:row>
          <xdr:rowOff>200025</xdr:rowOff>
        </xdr:to>
        <xdr:sp macro="" textlink="">
          <xdr:nvSpPr>
            <xdr:cNvPr id="15362" name="btnCreateDiagram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9525</xdr:rowOff>
        </xdr:from>
        <xdr:to>
          <xdr:col>6</xdr:col>
          <xdr:colOff>95250</xdr:colOff>
          <xdr:row>7</xdr:row>
          <xdr:rowOff>47625</xdr:rowOff>
        </xdr:to>
        <xdr:sp macro="" textlink="">
          <xdr:nvSpPr>
            <xdr:cNvPr id="15364" name="btnCreatePlanning" hidden="1">
              <a:extLst>
                <a:ext uri="{63B3BB69-23CF-44E3-9099-C40C66FF867C}">
                  <a14:compatExt spid="_x0000_s1536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8</xdr:row>
          <xdr:rowOff>190500</xdr:rowOff>
        </xdr:from>
        <xdr:to>
          <xdr:col>6</xdr:col>
          <xdr:colOff>114300</xdr:colOff>
          <xdr:row>10</xdr:row>
          <xdr:rowOff>152400</xdr:rowOff>
        </xdr:to>
        <xdr:sp macro="" textlink="">
          <xdr:nvSpPr>
            <xdr:cNvPr id="15365" name="btnCreateWorkSheet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18438" name="btnImportPlanification" hidden="1">
              <a:extLst>
                <a:ext uri="{63B3BB69-23CF-44E3-9099-C40C66FF867C}">
                  <a14:compatExt spid="_x0000_s184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1985" name="btnImportPlanification" hidden="1">
              <a:extLst>
                <a:ext uri="{63B3BB69-23CF-44E3-9099-C40C66FF867C}">
                  <a14:compatExt spid="_x0000_s4198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38913" name="btnImportRealisation" hidden="1">
              <a:extLst>
                <a:ext uri="{63B3BB69-23CF-44E3-9099-C40C66FF867C}">
                  <a14:compatExt spid="_x0000_s389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590550</xdr:colOff>
          <xdr:row>0</xdr:row>
          <xdr:rowOff>180975</xdr:rowOff>
        </xdr:from>
        <xdr:to>
          <xdr:col>7</xdr:col>
          <xdr:colOff>257175</xdr:colOff>
          <xdr:row>2</xdr:row>
          <xdr:rowOff>152400</xdr:rowOff>
        </xdr:to>
        <xdr:sp macro="" textlink="">
          <xdr:nvSpPr>
            <xdr:cNvPr id="43009" name="btnImportRealisation" hidden="1">
              <a:extLst>
                <a:ext uri="{63B3BB69-23CF-44E3-9099-C40C66FF867C}">
                  <a14:compatExt spid="_x0000_s4300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GGZExcel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GGZ">
      <a:majorFont>
        <a:latin typeface="Century Gothic"/>
        <a:ea typeface=""/>
        <a:cs typeface=""/>
      </a:majorFont>
      <a:minorFont>
        <a:latin typeface="Century Gothic"/>
        <a:ea typeface=""/>
        <a:cs typeface="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vmlDrawing" Target="../drawings/vmlDrawing1.vml"/><Relationship Id="rId7" Type="http://schemas.openxmlformats.org/officeDocument/2006/relationships/control" Target="../activeX/activeX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2.vml"/><Relationship Id="rId9" Type="http://schemas.openxmlformats.org/officeDocument/2006/relationships/control" Target="../activeX/activeX3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6.emf"/><Relationship Id="rId4" Type="http://schemas.openxmlformats.org/officeDocument/2006/relationships/control" Target="../activeX/activeX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8.emf"/><Relationship Id="rId4" Type="http://schemas.openxmlformats.org/officeDocument/2006/relationships/control" Target="../activeX/activeX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>
    <pageSetUpPr fitToPage="1"/>
  </sheetPr>
  <dimension ref="A1:M73"/>
  <sheetViews>
    <sheetView view="pageBreakPreview" zoomScaleNormal="100" zoomScaleSheetLayoutView="100" workbookViewId="0">
      <selection activeCell="C23" sqref="C23"/>
    </sheetView>
  </sheetViews>
  <sheetFormatPr baseColWidth="10" defaultColWidth="11.5703125" defaultRowHeight="13.5" x14ac:dyDescent="0.25"/>
  <cols>
    <col min="1" max="1" width="16.5703125" style="58" customWidth="1"/>
    <col min="2" max="2" width="55.140625" style="58" customWidth="1"/>
    <col min="3" max="3" width="88.5703125" style="58" customWidth="1"/>
    <col min="4" max="4" width="3.42578125" style="58" customWidth="1"/>
    <col min="5" max="6" width="11.5703125" style="58"/>
    <col min="7" max="7" width="3.28515625" style="58" customWidth="1"/>
    <col min="8" max="16384" width="11.5703125" style="58"/>
  </cols>
  <sheetData>
    <row r="1" spans="1:7" x14ac:dyDescent="0.25">
      <c r="A1" s="55"/>
      <c r="B1" s="56"/>
      <c r="C1" s="56"/>
      <c r="D1" s="56"/>
      <c r="E1" s="56"/>
      <c r="F1" s="56"/>
      <c r="G1" s="57"/>
    </row>
    <row r="2" spans="1:7" ht="14.25" thickBot="1" x14ac:dyDescent="0.3">
      <c r="A2" s="59"/>
      <c r="B2" s="60"/>
      <c r="C2" s="60"/>
      <c r="D2" s="60"/>
      <c r="E2" s="60"/>
      <c r="F2" s="60"/>
      <c r="G2" s="61"/>
    </row>
    <row r="3" spans="1:7" ht="20.25" x14ac:dyDescent="0.25">
      <c r="A3" s="59"/>
      <c r="B3" s="62" t="s">
        <v>0</v>
      </c>
      <c r="C3" s="63" t="s">
        <v>24</v>
      </c>
      <c r="D3" s="60"/>
      <c r="E3" s="60"/>
      <c r="F3" s="60"/>
      <c r="G3" s="61"/>
    </row>
    <row r="4" spans="1:7" ht="20.25" x14ac:dyDescent="0.25">
      <c r="A4" s="59"/>
      <c r="B4" s="64" t="s">
        <v>4</v>
      </c>
      <c r="C4" s="65" t="s">
        <v>25</v>
      </c>
      <c r="D4" s="60"/>
      <c r="E4" s="60"/>
      <c r="F4" s="60"/>
      <c r="G4" s="61"/>
    </row>
    <row r="5" spans="1:7" ht="20.25" x14ac:dyDescent="0.25">
      <c r="A5" s="59"/>
      <c r="B5" s="64" t="s">
        <v>1</v>
      </c>
      <c r="C5" s="65" t="s">
        <v>26</v>
      </c>
      <c r="D5" s="60"/>
      <c r="E5" s="60"/>
      <c r="F5" s="60"/>
      <c r="G5" s="61"/>
    </row>
    <row r="6" spans="1:7" ht="21" thickBot="1" x14ac:dyDescent="0.3">
      <c r="A6" s="59"/>
      <c r="B6" s="66" t="s">
        <v>2</v>
      </c>
      <c r="C6" s="67" t="s">
        <v>27</v>
      </c>
      <c r="D6" s="60"/>
      <c r="E6" s="60"/>
      <c r="F6" s="60"/>
      <c r="G6" s="61"/>
    </row>
    <row r="7" spans="1:7" x14ac:dyDescent="0.25">
      <c r="A7" s="59"/>
      <c r="B7" s="60"/>
      <c r="C7" s="60"/>
      <c r="D7" s="60"/>
      <c r="E7" s="60"/>
      <c r="F7" s="60"/>
      <c r="G7" s="61"/>
    </row>
    <row r="8" spans="1:7" ht="14.25" thickBot="1" x14ac:dyDescent="0.3">
      <c r="A8" s="59"/>
      <c r="B8" s="60"/>
      <c r="C8" s="60"/>
      <c r="D8" s="60"/>
      <c r="E8" s="60"/>
      <c r="F8" s="60"/>
      <c r="G8" s="61"/>
    </row>
    <row r="9" spans="1:7" ht="20.25" x14ac:dyDescent="0.25">
      <c r="A9" s="59"/>
      <c r="B9" s="62" t="s">
        <v>9</v>
      </c>
      <c r="C9" s="68">
        <v>45602</v>
      </c>
      <c r="D9" s="60"/>
      <c r="E9" s="60"/>
      <c r="F9" s="60"/>
      <c r="G9" s="61"/>
    </row>
    <row r="10" spans="1:7" ht="20.25" x14ac:dyDescent="0.25">
      <c r="A10" s="59"/>
      <c r="B10" s="69" t="s">
        <v>8</v>
      </c>
      <c r="C10" s="70">
        <v>45665</v>
      </c>
      <c r="D10" s="60"/>
      <c r="E10" s="60"/>
      <c r="F10" s="60"/>
      <c r="G10" s="61"/>
    </row>
    <row r="11" spans="1:7" ht="20.25" x14ac:dyDescent="0.25">
      <c r="A11" s="59"/>
      <c r="B11" s="69" t="s">
        <v>10</v>
      </c>
      <c r="C11" s="71">
        <v>8</v>
      </c>
      <c r="D11" s="60"/>
      <c r="E11" s="60"/>
      <c r="F11" s="60"/>
      <c r="G11" s="61"/>
    </row>
    <row r="12" spans="1:7" ht="20.25" x14ac:dyDescent="0.25">
      <c r="A12" s="59"/>
      <c r="B12" s="64" t="s">
        <v>11</v>
      </c>
      <c r="C12" s="72">
        <v>4</v>
      </c>
      <c r="D12" s="60"/>
      <c r="E12" s="60"/>
      <c r="F12" s="60"/>
      <c r="G12" s="61"/>
    </row>
    <row r="13" spans="1:7" ht="20.25" x14ac:dyDescent="0.25">
      <c r="A13" s="59"/>
      <c r="B13" s="64" t="s">
        <v>12</v>
      </c>
      <c r="C13" s="72">
        <v>3</v>
      </c>
      <c r="D13" s="60"/>
      <c r="E13" s="60"/>
      <c r="F13" s="60"/>
      <c r="G13" s="61"/>
    </row>
    <row r="14" spans="1:7" ht="20.25" thickBot="1" x14ac:dyDescent="0.3">
      <c r="A14" s="59"/>
      <c r="B14" s="73"/>
      <c r="C14" s="74" t="s">
        <v>6</v>
      </c>
      <c r="D14" s="60"/>
      <c r="E14" s="60"/>
      <c r="F14" s="60"/>
      <c r="G14" s="61"/>
    </row>
    <row r="15" spans="1:7" x14ac:dyDescent="0.25">
      <c r="A15" s="59"/>
      <c r="B15" s="60"/>
      <c r="C15" s="60"/>
      <c r="D15" s="60"/>
      <c r="E15" s="60"/>
      <c r="F15" s="60"/>
      <c r="G15" s="61"/>
    </row>
    <row r="16" spans="1:7" ht="14.25" thickBot="1" x14ac:dyDescent="0.3">
      <c r="A16" s="75"/>
      <c r="B16" s="76"/>
      <c r="C16" s="76"/>
      <c r="D16" s="76"/>
      <c r="E16" s="76"/>
      <c r="F16" s="76"/>
      <c r="G16" s="77"/>
    </row>
    <row r="17" spans="1:13" x14ac:dyDescent="0.25">
      <c r="A17" s="78"/>
      <c r="B17" s="56"/>
      <c r="C17" s="56"/>
      <c r="D17" s="56"/>
      <c r="E17" s="56"/>
      <c r="F17" s="56"/>
      <c r="G17" s="57"/>
    </row>
    <row r="18" spans="1:13" ht="14.25" thickBot="1" x14ac:dyDescent="0.3">
      <c r="A18" s="79"/>
      <c r="B18" s="60"/>
      <c r="C18" s="60"/>
      <c r="D18" s="60"/>
      <c r="E18" s="60"/>
      <c r="F18" s="60"/>
      <c r="G18" s="61"/>
    </row>
    <row r="19" spans="1:13" ht="21" thickBot="1" x14ac:dyDescent="0.3">
      <c r="A19" s="79"/>
      <c r="B19" s="116" t="s">
        <v>19</v>
      </c>
      <c r="C19" s="117"/>
      <c r="D19" s="60"/>
      <c r="E19" s="60"/>
      <c r="F19" s="60"/>
      <c r="G19" s="61"/>
    </row>
    <row r="20" spans="1:13" ht="20.25" x14ac:dyDescent="0.25">
      <c r="A20" s="79"/>
      <c r="B20" s="80" t="s">
        <v>20</v>
      </c>
      <c r="C20" s="81" t="s">
        <v>21</v>
      </c>
      <c r="D20" s="60"/>
      <c r="E20" s="60"/>
      <c r="F20" s="60"/>
      <c r="G20" s="61"/>
    </row>
    <row r="21" spans="1:13" ht="20.25" x14ac:dyDescent="0.25">
      <c r="A21" s="79"/>
      <c r="B21" s="80">
        <v>1</v>
      </c>
      <c r="C21" s="70" t="s">
        <v>28</v>
      </c>
      <c r="D21" s="60"/>
      <c r="E21" s="60"/>
      <c r="F21" s="60"/>
      <c r="G21" s="61"/>
    </row>
    <row r="22" spans="1:13" ht="20.25" x14ac:dyDescent="0.25">
      <c r="A22" s="79"/>
      <c r="B22" s="80">
        <v>2</v>
      </c>
      <c r="C22" s="71" t="s">
        <v>29</v>
      </c>
      <c r="D22" s="60"/>
      <c r="E22" s="60"/>
      <c r="F22" s="60"/>
      <c r="G22" s="61"/>
    </row>
    <row r="23" spans="1:13" ht="20.25" x14ac:dyDescent="0.25">
      <c r="A23" s="79"/>
      <c r="B23" s="82">
        <v>3</v>
      </c>
      <c r="C23" s="71"/>
      <c r="D23" s="60"/>
      <c r="E23" s="60"/>
      <c r="F23" s="60"/>
      <c r="G23" s="61"/>
    </row>
    <row r="24" spans="1:13" ht="20.25" x14ac:dyDescent="0.25">
      <c r="A24" s="79"/>
      <c r="B24" s="80">
        <v>4</v>
      </c>
      <c r="C24" s="71"/>
      <c r="D24" s="60"/>
      <c r="E24" s="60"/>
      <c r="F24" s="60"/>
      <c r="G24" s="61"/>
    </row>
    <row r="25" spans="1:13" ht="20.25" x14ac:dyDescent="0.25">
      <c r="A25" s="79"/>
      <c r="B25" s="80">
        <v>5</v>
      </c>
      <c r="C25" s="71"/>
      <c r="D25" s="60"/>
      <c r="E25" s="60"/>
      <c r="F25" s="60"/>
      <c r="G25" s="61"/>
    </row>
    <row r="26" spans="1:13" ht="20.25" x14ac:dyDescent="0.25">
      <c r="A26" s="79"/>
      <c r="B26" s="82">
        <v>6</v>
      </c>
      <c r="C26" s="71"/>
      <c r="D26" s="60"/>
      <c r="E26" s="60"/>
      <c r="F26" s="60"/>
      <c r="G26" s="61"/>
    </row>
    <row r="27" spans="1:13" ht="20.25" x14ac:dyDescent="0.25">
      <c r="A27" s="79"/>
      <c r="B27" s="80">
        <v>7</v>
      </c>
      <c r="C27" s="71"/>
      <c r="D27" s="60"/>
      <c r="E27" s="60"/>
      <c r="F27" s="60"/>
      <c r="G27" s="61"/>
    </row>
    <row r="28" spans="1:13" ht="20.25" x14ac:dyDescent="0.25">
      <c r="A28" s="79"/>
      <c r="B28" s="80">
        <v>8</v>
      </c>
      <c r="C28" s="72"/>
      <c r="D28" s="60"/>
      <c r="E28" s="60"/>
      <c r="F28" s="60"/>
      <c r="G28" s="61"/>
    </row>
    <row r="29" spans="1:13" ht="20.25" x14ac:dyDescent="0.25">
      <c r="A29" s="79"/>
      <c r="B29" s="82">
        <v>9</v>
      </c>
      <c r="C29" s="72"/>
      <c r="D29" s="60"/>
      <c r="E29" s="60"/>
      <c r="F29" s="60"/>
      <c r="G29" s="61"/>
    </row>
    <row r="30" spans="1:13" ht="20.25" x14ac:dyDescent="0.25">
      <c r="A30" s="79"/>
      <c r="B30" s="80">
        <v>10</v>
      </c>
      <c r="C30" s="71"/>
      <c r="D30" s="60"/>
      <c r="E30" s="60"/>
      <c r="F30" s="60"/>
      <c r="G30" s="61"/>
    </row>
    <row r="31" spans="1:13" ht="20.25" x14ac:dyDescent="0.25">
      <c r="A31" s="79"/>
      <c r="B31" s="80">
        <v>11</v>
      </c>
      <c r="C31" s="71"/>
      <c r="D31" s="60"/>
      <c r="E31" s="60"/>
      <c r="F31" s="60"/>
      <c r="G31" s="61"/>
      <c r="H31" s="83"/>
      <c r="I31" s="83"/>
      <c r="J31" s="83"/>
      <c r="K31" s="83"/>
      <c r="L31" s="83"/>
      <c r="M31" s="83"/>
    </row>
    <row r="32" spans="1:13" ht="20.25" x14ac:dyDescent="0.25">
      <c r="A32" s="79"/>
      <c r="B32" s="82">
        <v>12</v>
      </c>
      <c r="C32" s="71"/>
      <c r="D32" s="60"/>
      <c r="E32" s="60"/>
      <c r="F32" s="60"/>
      <c r="G32" s="61"/>
      <c r="H32" s="83"/>
      <c r="I32" s="83"/>
      <c r="J32" s="83"/>
      <c r="K32" s="83"/>
      <c r="L32" s="83"/>
      <c r="M32" s="83"/>
    </row>
    <row r="33" spans="1:13" ht="20.25" x14ac:dyDescent="0.25">
      <c r="A33" s="79"/>
      <c r="B33" s="80">
        <v>13</v>
      </c>
      <c r="C33" s="71"/>
      <c r="D33" s="60"/>
      <c r="E33" s="60"/>
      <c r="F33" s="60"/>
      <c r="G33" s="61"/>
      <c r="H33" s="83"/>
      <c r="I33" s="83"/>
      <c r="J33" s="83"/>
      <c r="K33" s="83"/>
      <c r="L33" s="83"/>
      <c r="M33" s="83"/>
    </row>
    <row r="34" spans="1:13" ht="20.25" x14ac:dyDescent="0.25">
      <c r="A34" s="79"/>
      <c r="B34" s="80">
        <v>14</v>
      </c>
      <c r="C34" s="72"/>
      <c r="D34" s="60"/>
      <c r="E34" s="60"/>
      <c r="F34" s="60"/>
      <c r="G34" s="61"/>
      <c r="H34" s="83"/>
      <c r="I34" s="83"/>
      <c r="J34" s="83"/>
      <c r="K34" s="83"/>
      <c r="L34" s="83"/>
      <c r="M34" s="83"/>
    </row>
    <row r="35" spans="1:13" ht="20.25" x14ac:dyDescent="0.25">
      <c r="A35" s="79"/>
      <c r="B35" s="82">
        <v>15</v>
      </c>
      <c r="C35" s="72"/>
      <c r="D35" s="60"/>
      <c r="E35" s="60"/>
      <c r="F35" s="60"/>
      <c r="G35" s="61"/>
      <c r="H35" s="83"/>
      <c r="I35" s="83"/>
      <c r="J35" s="83"/>
      <c r="K35" s="83"/>
      <c r="L35" s="83"/>
      <c r="M35" s="83"/>
    </row>
    <row r="36" spans="1:13" ht="20.25" x14ac:dyDescent="0.25">
      <c r="A36" s="79"/>
      <c r="B36" s="80">
        <v>16</v>
      </c>
      <c r="C36" s="71"/>
      <c r="D36" s="60"/>
      <c r="E36" s="60"/>
      <c r="F36" s="60"/>
      <c r="G36" s="61"/>
      <c r="H36" s="83"/>
      <c r="I36" s="83"/>
      <c r="J36" s="83"/>
      <c r="K36" s="83"/>
      <c r="L36" s="83"/>
      <c r="M36" s="83"/>
    </row>
    <row r="37" spans="1:13" ht="20.25" x14ac:dyDescent="0.25">
      <c r="A37" s="79"/>
      <c r="B37" s="80">
        <v>17</v>
      </c>
      <c r="C37" s="71"/>
      <c r="D37" s="60"/>
      <c r="E37" s="60"/>
      <c r="F37" s="60"/>
      <c r="G37" s="61"/>
      <c r="H37" s="83"/>
      <c r="I37" s="83"/>
      <c r="J37" s="83"/>
      <c r="K37" s="83"/>
      <c r="L37" s="83"/>
      <c r="M37" s="83"/>
    </row>
    <row r="38" spans="1:13" ht="20.25" x14ac:dyDescent="0.25">
      <c r="A38" s="79"/>
      <c r="B38" s="82">
        <v>18</v>
      </c>
      <c r="C38" s="71"/>
      <c r="D38" s="60"/>
      <c r="E38" s="60"/>
      <c r="F38" s="60"/>
      <c r="G38" s="61"/>
      <c r="H38" s="83"/>
      <c r="I38" s="83"/>
      <c r="J38" s="83"/>
      <c r="K38" s="83"/>
      <c r="L38" s="83"/>
      <c r="M38" s="83"/>
    </row>
    <row r="39" spans="1:13" ht="20.25" x14ac:dyDescent="0.25">
      <c r="A39" s="79"/>
      <c r="B39" s="80">
        <v>19</v>
      </c>
      <c r="C39" s="71"/>
      <c r="D39" s="60"/>
      <c r="E39" s="60"/>
      <c r="F39" s="60"/>
      <c r="G39" s="61"/>
      <c r="H39" s="83"/>
      <c r="I39" s="83"/>
      <c r="J39" s="83"/>
      <c r="K39" s="83"/>
      <c r="L39" s="83"/>
      <c r="M39" s="83"/>
    </row>
    <row r="40" spans="1:13" ht="20.25" x14ac:dyDescent="0.25">
      <c r="A40" s="79"/>
      <c r="B40" s="80">
        <v>20</v>
      </c>
      <c r="C40" s="72"/>
      <c r="D40" s="60"/>
      <c r="E40" s="60"/>
      <c r="F40" s="60"/>
      <c r="G40" s="61"/>
      <c r="H40" s="83"/>
      <c r="I40" s="83"/>
      <c r="J40" s="83"/>
      <c r="K40" s="83"/>
      <c r="L40" s="83"/>
      <c r="M40" s="83"/>
    </row>
    <row r="41" spans="1:13" ht="20.25" x14ac:dyDescent="0.25">
      <c r="A41" s="79"/>
      <c r="B41" s="82">
        <v>21</v>
      </c>
      <c r="C41" s="72"/>
      <c r="D41" s="60"/>
      <c r="E41" s="60"/>
      <c r="F41" s="60"/>
      <c r="G41" s="61"/>
      <c r="H41" s="83"/>
      <c r="I41" s="83"/>
      <c r="J41" s="83"/>
      <c r="K41" s="83"/>
      <c r="L41" s="83"/>
      <c r="M41" s="83"/>
    </row>
    <row r="42" spans="1:13" ht="20.25" x14ac:dyDescent="0.25">
      <c r="A42" s="79"/>
      <c r="B42" s="80">
        <v>22</v>
      </c>
      <c r="C42" s="71"/>
      <c r="D42" s="60"/>
      <c r="E42" s="60"/>
      <c r="F42" s="60"/>
      <c r="G42" s="61"/>
      <c r="H42" s="83"/>
      <c r="I42" s="83"/>
      <c r="J42" s="83"/>
      <c r="K42" s="83"/>
      <c r="L42" s="83"/>
      <c r="M42" s="83"/>
    </row>
    <row r="43" spans="1:13" ht="20.25" x14ac:dyDescent="0.25">
      <c r="A43" s="79"/>
      <c r="B43" s="80">
        <v>23</v>
      </c>
      <c r="C43" s="71"/>
      <c r="D43" s="60"/>
      <c r="E43" s="60"/>
      <c r="F43" s="60"/>
      <c r="G43" s="61"/>
      <c r="H43" s="83"/>
      <c r="I43" s="83"/>
      <c r="J43" s="83"/>
      <c r="K43" s="83"/>
      <c r="L43" s="83"/>
      <c r="M43" s="83"/>
    </row>
    <row r="44" spans="1:13" ht="20.25" x14ac:dyDescent="0.25">
      <c r="A44" s="79"/>
      <c r="B44" s="82">
        <v>24</v>
      </c>
      <c r="C44" s="71"/>
      <c r="D44" s="60"/>
      <c r="E44" s="60"/>
      <c r="F44" s="60"/>
      <c r="G44" s="61"/>
      <c r="H44" s="83"/>
      <c r="I44" s="83"/>
      <c r="J44" s="83"/>
      <c r="K44" s="83"/>
      <c r="L44" s="83"/>
      <c r="M44" s="83"/>
    </row>
    <row r="45" spans="1:13" ht="21" thickBot="1" x14ac:dyDescent="0.3">
      <c r="A45" s="79"/>
      <c r="B45" s="84">
        <v>25</v>
      </c>
      <c r="C45" s="85"/>
      <c r="D45" s="60"/>
      <c r="E45" s="60"/>
      <c r="F45" s="60"/>
      <c r="G45" s="61"/>
      <c r="H45" s="83"/>
      <c r="I45" s="83"/>
      <c r="J45" s="83"/>
      <c r="K45" s="83"/>
      <c r="L45" s="83"/>
      <c r="M45" s="83"/>
    </row>
    <row r="46" spans="1:13" x14ac:dyDescent="0.25">
      <c r="A46" s="79"/>
      <c r="B46" s="56"/>
      <c r="C46" s="60"/>
      <c r="D46" s="60"/>
      <c r="E46" s="60"/>
      <c r="F46" s="60"/>
      <c r="G46" s="61"/>
      <c r="H46" s="83"/>
      <c r="I46" s="83"/>
      <c r="J46" s="83"/>
      <c r="K46" s="83"/>
      <c r="L46" s="83"/>
      <c r="M46" s="83"/>
    </row>
    <row r="47" spans="1:13" x14ac:dyDescent="0.25">
      <c r="A47" s="79"/>
      <c r="B47" s="60"/>
      <c r="C47" s="60"/>
      <c r="D47" s="60"/>
      <c r="E47" s="60"/>
      <c r="F47" s="60"/>
      <c r="G47" s="61"/>
      <c r="H47" s="83"/>
      <c r="I47" s="83"/>
      <c r="J47" s="83"/>
      <c r="K47" s="83"/>
      <c r="L47" s="83"/>
      <c r="M47" s="83"/>
    </row>
    <row r="48" spans="1:13" x14ac:dyDescent="0.25">
      <c r="A48" s="79"/>
      <c r="B48" s="60"/>
      <c r="C48" s="60"/>
      <c r="D48" s="60"/>
      <c r="E48" s="60"/>
      <c r="F48" s="60"/>
      <c r="G48" s="61"/>
      <c r="H48" s="83"/>
      <c r="I48" s="83"/>
      <c r="J48" s="83"/>
      <c r="K48" s="83"/>
      <c r="L48" s="83"/>
      <c r="M48" s="83"/>
    </row>
    <row r="49" spans="1:13" x14ac:dyDescent="0.25">
      <c r="A49" s="79"/>
      <c r="B49" s="60"/>
      <c r="C49" s="60"/>
      <c r="D49" s="60"/>
      <c r="E49" s="60"/>
      <c r="F49" s="60"/>
      <c r="G49" s="61"/>
      <c r="H49" s="83"/>
      <c r="I49" s="83"/>
      <c r="J49" s="83"/>
      <c r="K49" s="83"/>
      <c r="L49" s="83"/>
      <c r="M49" s="83"/>
    </row>
    <row r="50" spans="1:13" x14ac:dyDescent="0.25">
      <c r="A50" s="79"/>
      <c r="B50" s="60"/>
      <c r="C50" s="60"/>
      <c r="D50" s="60"/>
      <c r="E50" s="60"/>
      <c r="F50" s="60"/>
      <c r="G50" s="61"/>
      <c r="H50" s="83"/>
      <c r="I50" s="83"/>
      <c r="J50" s="83"/>
      <c r="K50" s="83"/>
      <c r="L50" s="83"/>
      <c r="M50" s="83"/>
    </row>
    <row r="51" spans="1:13" x14ac:dyDescent="0.25">
      <c r="A51" s="79"/>
      <c r="B51" s="60"/>
      <c r="C51" s="60"/>
      <c r="D51" s="60"/>
      <c r="E51" s="60"/>
      <c r="F51" s="60"/>
      <c r="G51" s="61"/>
      <c r="H51" s="83"/>
      <c r="I51" s="83"/>
      <c r="J51" s="83"/>
      <c r="K51" s="83"/>
      <c r="L51" s="83"/>
      <c r="M51" s="83"/>
    </row>
    <row r="52" spans="1:13" x14ac:dyDescent="0.25">
      <c r="A52" s="79"/>
      <c r="B52" s="60"/>
      <c r="C52" s="60"/>
      <c r="D52" s="60"/>
      <c r="E52" s="60"/>
      <c r="F52" s="60"/>
      <c r="G52" s="61"/>
      <c r="H52" s="83"/>
      <c r="I52" s="83"/>
      <c r="J52" s="83"/>
      <c r="K52" s="83"/>
      <c r="L52" s="83"/>
      <c r="M52" s="83"/>
    </row>
    <row r="53" spans="1:13" x14ac:dyDescent="0.25">
      <c r="A53" s="79"/>
      <c r="B53" s="60"/>
      <c r="C53" s="60"/>
      <c r="D53" s="60"/>
      <c r="E53" s="60"/>
      <c r="F53" s="60"/>
      <c r="G53" s="61"/>
      <c r="H53" s="83"/>
      <c r="I53" s="83"/>
      <c r="J53" s="83"/>
      <c r="K53" s="83"/>
      <c r="L53" s="83"/>
      <c r="M53" s="83"/>
    </row>
    <row r="54" spans="1:13" ht="14.25" thickBot="1" x14ac:dyDescent="0.3">
      <c r="A54" s="86"/>
      <c r="B54" s="76"/>
      <c r="C54" s="76"/>
      <c r="D54" s="76"/>
      <c r="E54" s="76"/>
      <c r="F54" s="76"/>
      <c r="G54" s="77"/>
      <c r="H54" s="83"/>
      <c r="I54" s="83"/>
      <c r="J54" s="83"/>
      <c r="K54" s="83"/>
      <c r="L54" s="83"/>
      <c r="M54" s="83"/>
    </row>
    <row r="55" spans="1:13" x14ac:dyDescent="0.25">
      <c r="A55" s="83"/>
      <c r="B55" s="83"/>
      <c r="C55" s="83"/>
      <c r="D55" s="83"/>
      <c r="E55" s="83"/>
      <c r="F55" s="83"/>
      <c r="G55" s="83"/>
      <c r="H55" s="83"/>
      <c r="I55" s="83"/>
      <c r="J55" s="83"/>
      <c r="K55" s="83"/>
      <c r="L55" s="83"/>
      <c r="M55" s="83"/>
    </row>
    <row r="56" spans="1:13" x14ac:dyDescent="0.25">
      <c r="A56" s="83"/>
      <c r="B56" s="83"/>
      <c r="C56" s="83"/>
      <c r="D56" s="83"/>
      <c r="E56" s="83"/>
      <c r="F56" s="83"/>
      <c r="G56" s="83"/>
      <c r="H56" s="83"/>
      <c r="I56" s="83"/>
      <c r="J56" s="83"/>
      <c r="K56" s="83"/>
      <c r="L56" s="83"/>
      <c r="M56" s="83"/>
    </row>
    <row r="57" spans="1:13" x14ac:dyDescent="0.25">
      <c r="A57" s="83"/>
      <c r="B57" s="83"/>
      <c r="C57" s="83"/>
      <c r="D57" s="83"/>
      <c r="E57" s="83"/>
      <c r="F57" s="83"/>
      <c r="G57" s="83"/>
      <c r="H57" s="83"/>
      <c r="I57" s="83"/>
      <c r="J57" s="83"/>
      <c r="K57" s="83"/>
      <c r="L57" s="83"/>
      <c r="M57" s="83"/>
    </row>
    <row r="58" spans="1:13" x14ac:dyDescent="0.25">
      <c r="A58" s="83"/>
      <c r="B58" s="83"/>
      <c r="C58" s="83"/>
      <c r="D58" s="83"/>
      <c r="E58" s="83"/>
      <c r="F58" s="83"/>
      <c r="G58" s="83"/>
      <c r="H58" s="83"/>
      <c r="I58" s="83"/>
      <c r="J58" s="83"/>
      <c r="K58" s="83"/>
      <c r="L58" s="83"/>
      <c r="M58" s="83"/>
    </row>
    <row r="59" spans="1:13" x14ac:dyDescent="0.25">
      <c r="A59" s="83"/>
      <c r="B59" s="83"/>
      <c r="C59" s="83"/>
      <c r="D59" s="83"/>
      <c r="E59" s="83"/>
      <c r="F59" s="83"/>
      <c r="G59" s="83"/>
      <c r="H59" s="83"/>
      <c r="I59" s="83"/>
      <c r="J59" s="83"/>
      <c r="K59" s="83"/>
      <c r="L59" s="83"/>
      <c r="M59" s="83"/>
    </row>
    <row r="60" spans="1:13" x14ac:dyDescent="0.25">
      <c r="A60" s="83"/>
      <c r="B60" s="83"/>
      <c r="C60" s="83"/>
      <c r="D60" s="83"/>
      <c r="E60" s="83"/>
      <c r="F60" s="83"/>
      <c r="G60" s="83"/>
      <c r="H60" s="83"/>
      <c r="I60" s="83"/>
      <c r="J60" s="83"/>
      <c r="K60" s="83"/>
      <c r="L60" s="83"/>
      <c r="M60" s="83"/>
    </row>
    <row r="61" spans="1:13" x14ac:dyDescent="0.25">
      <c r="A61" s="83"/>
      <c r="B61" s="83"/>
      <c r="C61" s="83"/>
      <c r="D61" s="83"/>
      <c r="E61" s="83"/>
      <c r="F61" s="83"/>
      <c r="G61" s="83"/>
      <c r="H61" s="83"/>
      <c r="I61" s="83"/>
      <c r="J61" s="83"/>
      <c r="K61" s="83"/>
      <c r="L61" s="83"/>
      <c r="M61" s="83"/>
    </row>
    <row r="62" spans="1:13" x14ac:dyDescent="0.25">
      <c r="A62" s="83"/>
      <c r="B62" s="83"/>
      <c r="C62" s="83"/>
      <c r="D62" s="83"/>
      <c r="E62" s="83"/>
      <c r="F62" s="83"/>
      <c r="G62" s="83"/>
      <c r="H62" s="83"/>
      <c r="I62" s="83"/>
      <c r="J62" s="83"/>
      <c r="K62" s="83"/>
      <c r="L62" s="83"/>
      <c r="M62" s="83"/>
    </row>
    <row r="63" spans="1:13" x14ac:dyDescent="0.25">
      <c r="A63" s="83"/>
      <c r="B63" s="83"/>
      <c r="C63" s="83"/>
      <c r="D63" s="83"/>
      <c r="E63" s="83"/>
      <c r="F63" s="83"/>
      <c r="G63" s="83"/>
      <c r="H63" s="83"/>
      <c r="I63" s="83"/>
      <c r="J63" s="83"/>
      <c r="K63" s="83"/>
      <c r="L63" s="83"/>
      <c r="M63" s="83"/>
    </row>
    <row r="64" spans="1:13" x14ac:dyDescent="0.25">
      <c r="A64" s="83"/>
      <c r="B64" s="83"/>
      <c r="C64" s="83"/>
      <c r="D64" s="83"/>
      <c r="E64" s="83"/>
      <c r="F64" s="83"/>
      <c r="G64" s="83"/>
      <c r="H64" s="83"/>
      <c r="I64" s="83"/>
      <c r="J64" s="83"/>
      <c r="K64" s="83"/>
      <c r="L64" s="83"/>
      <c r="M64" s="83"/>
    </row>
    <row r="65" spans="1:13" x14ac:dyDescent="0.25">
      <c r="A65" s="83"/>
      <c r="B65" s="83"/>
      <c r="C65" s="83"/>
      <c r="D65" s="83"/>
      <c r="E65" s="83"/>
      <c r="F65" s="83"/>
      <c r="G65" s="83"/>
      <c r="H65" s="83"/>
      <c r="I65" s="83"/>
      <c r="J65" s="83"/>
      <c r="K65" s="83"/>
      <c r="L65" s="83"/>
      <c r="M65" s="83"/>
    </row>
    <row r="66" spans="1:13" x14ac:dyDescent="0.25">
      <c r="A66" s="83"/>
      <c r="B66" s="83"/>
      <c r="C66" s="83"/>
      <c r="D66" s="83"/>
      <c r="E66" s="83"/>
      <c r="F66" s="83"/>
      <c r="G66" s="83"/>
      <c r="H66" s="83"/>
      <c r="I66" s="83"/>
      <c r="J66" s="83"/>
      <c r="K66" s="83"/>
      <c r="L66" s="83"/>
      <c r="M66" s="83"/>
    </row>
    <row r="67" spans="1:13" x14ac:dyDescent="0.25">
      <c r="A67" s="83"/>
      <c r="B67" s="83"/>
      <c r="C67" s="83"/>
      <c r="D67" s="83"/>
      <c r="E67" s="83"/>
      <c r="F67" s="83"/>
      <c r="G67" s="83"/>
      <c r="H67" s="83"/>
      <c r="I67" s="83"/>
      <c r="J67" s="83"/>
      <c r="K67" s="83"/>
      <c r="L67" s="83"/>
      <c r="M67" s="83"/>
    </row>
    <row r="68" spans="1:13" x14ac:dyDescent="0.25">
      <c r="A68" s="83"/>
      <c r="B68" s="83"/>
      <c r="C68" s="83"/>
      <c r="D68" s="83"/>
      <c r="E68" s="83"/>
      <c r="F68" s="83"/>
      <c r="G68" s="83"/>
      <c r="H68" s="83"/>
      <c r="I68" s="83"/>
      <c r="J68" s="83"/>
      <c r="K68" s="83"/>
      <c r="L68" s="83"/>
      <c r="M68" s="83"/>
    </row>
    <row r="69" spans="1:13" x14ac:dyDescent="0.25">
      <c r="A69" s="83"/>
      <c r="B69" s="83"/>
      <c r="C69" s="83"/>
      <c r="D69" s="83"/>
      <c r="E69" s="83"/>
      <c r="F69" s="83"/>
      <c r="G69" s="83"/>
      <c r="H69" s="83"/>
      <c r="I69" s="83"/>
      <c r="J69" s="83"/>
      <c r="K69" s="83"/>
      <c r="L69" s="83"/>
      <c r="M69" s="83"/>
    </row>
    <row r="70" spans="1:13" x14ac:dyDescent="0.25">
      <c r="A70" s="83"/>
      <c r="B70" s="83"/>
      <c r="C70" s="83"/>
      <c r="D70" s="83"/>
      <c r="E70" s="83"/>
      <c r="F70" s="83"/>
      <c r="G70" s="83"/>
      <c r="H70" s="83"/>
      <c r="I70" s="83"/>
      <c r="J70" s="83"/>
      <c r="K70" s="83"/>
      <c r="L70" s="83"/>
      <c r="M70" s="83"/>
    </row>
    <row r="71" spans="1:13" x14ac:dyDescent="0.25">
      <c r="A71" s="83"/>
      <c r="B71" s="83"/>
      <c r="C71" s="83"/>
      <c r="D71" s="83"/>
      <c r="E71" s="83"/>
      <c r="F71" s="83"/>
      <c r="G71" s="83"/>
      <c r="H71" s="83"/>
      <c r="I71" s="83"/>
      <c r="J71" s="83"/>
      <c r="K71" s="83"/>
      <c r="L71" s="83"/>
      <c r="M71" s="83"/>
    </row>
    <row r="72" spans="1:13" x14ac:dyDescent="0.25">
      <c r="A72" s="83"/>
      <c r="B72" s="83"/>
      <c r="C72" s="83"/>
      <c r="D72" s="83"/>
      <c r="E72" s="83"/>
      <c r="F72" s="83"/>
      <c r="G72" s="83"/>
      <c r="H72" s="83"/>
      <c r="I72" s="83"/>
      <c r="J72" s="83"/>
      <c r="K72" s="83"/>
      <c r="L72" s="83"/>
      <c r="M72" s="83"/>
    </row>
    <row r="73" spans="1:13" x14ac:dyDescent="0.25">
      <c r="A73" s="83"/>
      <c r="B73" s="83"/>
      <c r="C73" s="83"/>
      <c r="D73" s="83"/>
      <c r="E73" s="83"/>
      <c r="F73" s="83"/>
      <c r="G73" s="83"/>
      <c r="H73" s="83"/>
      <c r="I73" s="83"/>
      <c r="J73" s="83"/>
      <c r="K73" s="83"/>
      <c r="L73" s="83"/>
      <c r="M73" s="83"/>
    </row>
  </sheetData>
  <sheetProtection selectLockedCells="1"/>
  <mergeCells count="1">
    <mergeCell ref="B19:C19"/>
  </mergeCells>
  <printOptions horizontalCentered="1"/>
  <pageMargins left="0.70866141732283472" right="0.70866141732283472" top="0.74803149606299213" bottom="0.74803149606299213" header="0.31496062992125984" footer="0.31496062992125984"/>
  <pageSetup paperSize="9" scale="52" orientation="landscape" r:id="rId1"/>
  <headerFooter>
    <oddHeader>&amp;L&amp;"ETML L,Normal"ETML&amp;C&amp;"-,Normal"Planification&amp;R&amp;G</oddHeader>
    <oddFooter>&amp;L&amp;"-,Normal"&amp;D - GGZ&amp;C&amp;"-,Normal"&amp;F - &amp;A&amp;R&amp;"-,Normal"Page &amp;P/&amp;N</oddFooter>
  </headerFooter>
  <drawing r:id="rId2"/>
  <legacyDrawing r:id="rId3"/>
  <legacyDrawingHF r:id="rId4"/>
  <controls>
    <mc:AlternateContent xmlns:mc="http://schemas.openxmlformats.org/markup-compatibility/2006">
      <mc:Choice Requires="x14">
        <control shapeId="15364" r:id="rId5" name="btnCreatePlanning">
          <controlPr defaultSize="0" autoLine="0" r:id="rId6">
            <anchor moveWithCells="1">
              <from>
                <xdr:col>4</xdr:col>
                <xdr:colOff>9525</xdr:colOff>
                <xdr:row>5</xdr:row>
                <xdr:rowOff>9525</xdr:rowOff>
              </from>
              <to>
                <xdr:col>6</xdr:col>
                <xdr:colOff>95250</xdr:colOff>
                <xdr:row>7</xdr:row>
                <xdr:rowOff>47625</xdr:rowOff>
              </to>
            </anchor>
          </controlPr>
        </control>
      </mc:Choice>
      <mc:Fallback>
        <control shapeId="15364" r:id="rId5" name="btnCreatePlanning"/>
      </mc:Fallback>
    </mc:AlternateContent>
    <mc:AlternateContent xmlns:mc="http://schemas.openxmlformats.org/markup-compatibility/2006">
      <mc:Choice Requires="x14">
        <control shapeId="15362" r:id="rId7" name="btnCreateDiagram">
          <controlPr defaultSize="0" autoLine="0" r:id="rId8">
            <anchor moveWithCells="1">
              <from>
                <xdr:col>4</xdr:col>
                <xdr:colOff>9525</xdr:colOff>
                <xdr:row>1</xdr:row>
                <xdr:rowOff>161925</xdr:rowOff>
              </from>
              <to>
                <xdr:col>6</xdr:col>
                <xdr:colOff>76200</xdr:colOff>
                <xdr:row>3</xdr:row>
                <xdr:rowOff>200025</xdr:rowOff>
              </to>
            </anchor>
          </controlPr>
        </control>
      </mc:Choice>
      <mc:Fallback>
        <control shapeId="15362" r:id="rId7" name="btnCreateDiagram"/>
      </mc:Fallback>
    </mc:AlternateContent>
    <mc:AlternateContent xmlns:mc="http://schemas.openxmlformats.org/markup-compatibility/2006">
      <mc:Choice Requires="x14">
        <control shapeId="15365" r:id="rId9" name="btnCreateWorkSheet">
          <controlPr defaultSize="0" autoLine="0" r:id="rId10">
            <anchor moveWithCells="1">
              <from>
                <xdr:col>4</xdr:col>
                <xdr:colOff>9525</xdr:colOff>
                <xdr:row>8</xdr:row>
                <xdr:rowOff>190500</xdr:rowOff>
              </from>
              <to>
                <xdr:col>6</xdr:col>
                <xdr:colOff>114300</xdr:colOff>
                <xdr:row>10</xdr:row>
                <xdr:rowOff>152400</xdr:rowOff>
              </to>
            </anchor>
          </controlPr>
        </control>
      </mc:Choice>
      <mc:Fallback>
        <control shapeId="15365" r:id="rId9" name="btnCreateWorkShee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CU16"/>
  <sheetViews>
    <sheetView workbookViewId="0">
      <selection activeCell="B1" sqref="B1"/>
    </sheetView>
  </sheetViews>
  <sheetFormatPr baseColWidth="10" defaultColWidth="1.5703125" defaultRowHeight="19.5" customHeight="1" x14ac:dyDescent="0.25"/>
  <cols>
    <col min="1" max="1" width="17.85546875" style="88" customWidth="1"/>
    <col min="2" max="2" width="51.28515625" style="88" customWidth="1"/>
    <col min="3" max="3" width="19.42578125" style="88" customWidth="1"/>
    <col min="4" max="16384" width="1.5703125" style="88"/>
  </cols>
  <sheetData>
    <row r="1" spans="1:99" ht="14.25" thickBot="1" x14ac:dyDescent="0.3">
      <c r="B1" s="89"/>
      <c r="C1" s="89"/>
    </row>
    <row r="2" spans="1:99" ht="42.75" customHeight="1" thickBot="1" x14ac:dyDescent="0.3">
      <c r="A2" s="90"/>
      <c r="B2" s="23" t="s">
        <v>5</v>
      </c>
      <c r="C2" s="15" t="s">
        <v>18</v>
      </c>
      <c r="D2" s="118" t="s">
        <v>30</v>
      </c>
      <c r="E2" s="119"/>
      <c r="F2" s="119"/>
      <c r="G2" s="119"/>
      <c r="H2" s="119"/>
      <c r="I2" s="119"/>
      <c r="J2" s="119"/>
      <c r="K2" s="119"/>
      <c r="L2" s="119"/>
      <c r="M2" s="119"/>
      <c r="N2" s="119"/>
      <c r="O2" s="120"/>
      <c r="P2" s="118" t="s">
        <v>31</v>
      </c>
      <c r="Q2" s="119"/>
      <c r="R2" s="119"/>
      <c r="S2" s="119"/>
      <c r="T2" s="119"/>
      <c r="U2" s="119"/>
      <c r="V2" s="119"/>
      <c r="W2" s="119"/>
      <c r="X2" s="119"/>
      <c r="Y2" s="119"/>
      <c r="Z2" s="119"/>
      <c r="AA2" s="120"/>
      <c r="AB2" s="118" t="s">
        <v>32</v>
      </c>
      <c r="AC2" s="119"/>
      <c r="AD2" s="119"/>
      <c r="AE2" s="119"/>
      <c r="AF2" s="119"/>
      <c r="AG2" s="119"/>
      <c r="AH2" s="119"/>
      <c r="AI2" s="119"/>
      <c r="AJ2" s="119"/>
      <c r="AK2" s="119"/>
      <c r="AL2" s="119"/>
      <c r="AM2" s="120"/>
      <c r="AN2" s="118" t="s">
        <v>33</v>
      </c>
      <c r="AO2" s="119"/>
      <c r="AP2" s="119"/>
      <c r="AQ2" s="119"/>
      <c r="AR2" s="119"/>
      <c r="AS2" s="119"/>
      <c r="AT2" s="119"/>
      <c r="AU2" s="119"/>
      <c r="AV2" s="119"/>
      <c r="AW2" s="119"/>
      <c r="AX2" s="119"/>
      <c r="AY2" s="120"/>
      <c r="AZ2" s="118" t="s">
        <v>34</v>
      </c>
      <c r="BA2" s="119"/>
      <c r="BB2" s="119"/>
      <c r="BC2" s="119"/>
      <c r="BD2" s="119"/>
      <c r="BE2" s="119"/>
      <c r="BF2" s="119"/>
      <c r="BG2" s="119"/>
      <c r="BH2" s="119"/>
      <c r="BI2" s="119"/>
      <c r="BJ2" s="119"/>
      <c r="BK2" s="120"/>
      <c r="BL2" s="118" t="s">
        <v>35</v>
      </c>
      <c r="BM2" s="119"/>
      <c r="BN2" s="119"/>
      <c r="BO2" s="119"/>
      <c r="BP2" s="119"/>
      <c r="BQ2" s="119"/>
      <c r="BR2" s="119"/>
      <c r="BS2" s="119"/>
      <c r="BT2" s="119"/>
      <c r="BU2" s="119"/>
      <c r="BV2" s="119"/>
      <c r="BW2" s="120"/>
      <c r="BX2" s="118" t="s">
        <v>36</v>
      </c>
      <c r="BY2" s="119"/>
      <c r="BZ2" s="119"/>
      <c r="CA2" s="119"/>
      <c r="CB2" s="119"/>
      <c r="CC2" s="119"/>
      <c r="CD2" s="119"/>
      <c r="CE2" s="119"/>
      <c r="CF2" s="119"/>
      <c r="CG2" s="119"/>
      <c r="CH2" s="119"/>
      <c r="CI2" s="120"/>
      <c r="CJ2" s="118" t="s">
        <v>37</v>
      </c>
      <c r="CK2" s="119"/>
      <c r="CL2" s="119"/>
      <c r="CM2" s="119"/>
      <c r="CN2" s="119"/>
      <c r="CO2" s="119"/>
      <c r="CP2" s="119"/>
      <c r="CQ2" s="119"/>
      <c r="CR2" s="119"/>
      <c r="CS2" s="119"/>
      <c r="CT2" s="119"/>
      <c r="CU2" s="120"/>
    </row>
    <row r="3" spans="1:99" ht="19.5" customHeight="1" x14ac:dyDescent="0.25">
      <c r="A3" s="90"/>
      <c r="B3" s="121" t="s">
        <v>21</v>
      </c>
      <c r="C3" s="16">
        <v>0</v>
      </c>
      <c r="D3" s="91"/>
      <c r="E3" s="92"/>
      <c r="F3" s="93"/>
      <c r="G3" s="94"/>
      <c r="H3" s="92"/>
      <c r="I3" s="93"/>
      <c r="J3" s="94"/>
      <c r="K3" s="92"/>
      <c r="L3" s="93"/>
      <c r="M3" s="94"/>
      <c r="N3" s="92"/>
      <c r="O3" s="95"/>
      <c r="P3" s="91"/>
      <c r="Q3" s="92"/>
      <c r="R3" s="93"/>
      <c r="S3" s="94"/>
      <c r="T3" s="92"/>
      <c r="U3" s="93"/>
      <c r="V3" s="94"/>
      <c r="W3" s="92"/>
      <c r="X3" s="93"/>
      <c r="Y3" s="94"/>
      <c r="Z3" s="92"/>
      <c r="AA3" s="95"/>
      <c r="AB3" s="91"/>
      <c r="AC3" s="92"/>
      <c r="AD3" s="93"/>
      <c r="AE3" s="94"/>
      <c r="AF3" s="92"/>
      <c r="AG3" s="93"/>
      <c r="AH3" s="94"/>
      <c r="AI3" s="92"/>
      <c r="AJ3" s="93"/>
      <c r="AK3" s="94"/>
      <c r="AL3" s="92"/>
      <c r="AM3" s="95"/>
      <c r="AN3" s="91"/>
      <c r="AO3" s="92"/>
      <c r="AP3" s="93"/>
      <c r="AQ3" s="94"/>
      <c r="AR3" s="92"/>
      <c r="AS3" s="93"/>
      <c r="AT3" s="94"/>
      <c r="AU3" s="92"/>
      <c r="AV3" s="93"/>
      <c r="AW3" s="94"/>
      <c r="AX3" s="92"/>
      <c r="AY3" s="95"/>
      <c r="AZ3" s="91"/>
      <c r="BA3" s="92"/>
      <c r="BB3" s="93"/>
      <c r="BC3" s="94"/>
      <c r="BD3" s="92"/>
      <c r="BE3" s="93"/>
      <c r="BF3" s="94"/>
      <c r="BG3" s="92"/>
      <c r="BH3" s="93"/>
      <c r="BI3" s="94"/>
      <c r="BJ3" s="92"/>
      <c r="BK3" s="95"/>
      <c r="BL3" s="91"/>
      <c r="BM3" s="92"/>
      <c r="BN3" s="93"/>
      <c r="BO3" s="94"/>
      <c r="BP3" s="92"/>
      <c r="BQ3" s="93"/>
      <c r="BR3" s="94"/>
      <c r="BS3" s="92"/>
      <c r="BT3" s="93"/>
      <c r="BU3" s="94"/>
      <c r="BV3" s="92"/>
      <c r="BW3" s="95"/>
      <c r="BX3" s="91"/>
      <c r="BY3" s="92"/>
      <c r="BZ3" s="93"/>
      <c r="CA3" s="94"/>
      <c r="CB3" s="92"/>
      <c r="CC3" s="93"/>
      <c r="CD3" s="94"/>
      <c r="CE3" s="92"/>
      <c r="CF3" s="93"/>
      <c r="CG3" s="94"/>
      <c r="CH3" s="92"/>
      <c r="CI3" s="95"/>
      <c r="CJ3" s="91"/>
      <c r="CK3" s="92"/>
      <c r="CL3" s="93"/>
      <c r="CM3" s="94"/>
      <c r="CN3" s="92"/>
      <c r="CO3" s="93"/>
      <c r="CP3" s="94"/>
      <c r="CQ3" s="92"/>
      <c r="CR3" s="93"/>
      <c r="CS3" s="94"/>
      <c r="CT3" s="92"/>
      <c r="CU3" s="95"/>
    </row>
    <row r="4" spans="1:99" ht="19.5" customHeight="1" thickBot="1" x14ac:dyDescent="0.3">
      <c r="A4" s="90"/>
      <c r="B4" s="122"/>
      <c r="C4" s="22">
        <v>0</v>
      </c>
      <c r="D4" s="96"/>
      <c r="E4" s="97"/>
      <c r="F4" s="98"/>
      <c r="G4" s="99"/>
      <c r="H4" s="97"/>
      <c r="I4" s="98"/>
      <c r="J4" s="99"/>
      <c r="K4" s="97"/>
      <c r="L4" s="98"/>
      <c r="M4" s="99"/>
      <c r="N4" s="97"/>
      <c r="O4" s="100"/>
      <c r="P4" s="96"/>
      <c r="Q4" s="97"/>
      <c r="R4" s="98"/>
      <c r="S4" s="99"/>
      <c r="T4" s="97"/>
      <c r="U4" s="98"/>
      <c r="V4" s="99"/>
      <c r="W4" s="97"/>
      <c r="X4" s="98"/>
      <c r="Y4" s="99"/>
      <c r="Z4" s="97"/>
      <c r="AA4" s="100"/>
      <c r="AB4" s="96"/>
      <c r="AC4" s="97"/>
      <c r="AD4" s="98"/>
      <c r="AE4" s="99"/>
      <c r="AF4" s="97"/>
      <c r="AG4" s="98"/>
      <c r="AH4" s="99"/>
      <c r="AI4" s="97"/>
      <c r="AJ4" s="98"/>
      <c r="AK4" s="99"/>
      <c r="AL4" s="97"/>
      <c r="AM4" s="100"/>
      <c r="AN4" s="96"/>
      <c r="AO4" s="97"/>
      <c r="AP4" s="98"/>
      <c r="AQ4" s="99"/>
      <c r="AR4" s="97"/>
      <c r="AS4" s="98"/>
      <c r="AT4" s="99"/>
      <c r="AU4" s="97"/>
      <c r="AV4" s="98"/>
      <c r="AW4" s="99"/>
      <c r="AX4" s="97"/>
      <c r="AY4" s="100"/>
      <c r="AZ4" s="96"/>
      <c r="BA4" s="97"/>
      <c r="BB4" s="98"/>
      <c r="BC4" s="99"/>
      <c r="BD4" s="97"/>
      <c r="BE4" s="98"/>
      <c r="BF4" s="99"/>
      <c r="BG4" s="97"/>
      <c r="BH4" s="98"/>
      <c r="BI4" s="99"/>
      <c r="BJ4" s="97"/>
      <c r="BK4" s="100"/>
      <c r="BL4" s="96"/>
      <c r="BM4" s="97"/>
      <c r="BN4" s="98"/>
      <c r="BO4" s="99"/>
      <c r="BP4" s="97"/>
      <c r="BQ4" s="98"/>
      <c r="BR4" s="99"/>
      <c r="BS4" s="97"/>
      <c r="BT4" s="98"/>
      <c r="BU4" s="99"/>
      <c r="BV4" s="97"/>
      <c r="BW4" s="100"/>
      <c r="BX4" s="96"/>
      <c r="BY4" s="97"/>
      <c r="BZ4" s="98"/>
      <c r="CA4" s="99"/>
      <c r="CB4" s="97"/>
      <c r="CC4" s="98"/>
      <c r="CD4" s="99"/>
      <c r="CE4" s="97"/>
      <c r="CF4" s="98"/>
      <c r="CG4" s="99"/>
      <c r="CH4" s="97"/>
      <c r="CI4" s="100"/>
      <c r="CJ4" s="96"/>
      <c r="CK4" s="97"/>
      <c r="CL4" s="98"/>
      <c r="CM4" s="99"/>
      <c r="CN4" s="97"/>
      <c r="CO4" s="98"/>
      <c r="CP4" s="99"/>
      <c r="CQ4" s="97"/>
      <c r="CR4" s="98"/>
      <c r="CS4" s="99"/>
      <c r="CT4" s="97"/>
      <c r="CU4" s="100"/>
    </row>
    <row r="5" spans="1:99" ht="19.5" customHeight="1" x14ac:dyDescent="0.25">
      <c r="B5" s="123" t="str">
        <f>Donnees!$C$21</f>
        <v>Code</v>
      </c>
      <c r="C5" s="101">
        <v>0</v>
      </c>
      <c r="D5" s="91"/>
      <c r="E5" s="92"/>
      <c r="F5" s="93"/>
      <c r="G5" s="94"/>
      <c r="H5" s="92"/>
      <c r="I5" s="93"/>
      <c r="J5" s="94"/>
      <c r="K5" s="92"/>
      <c r="L5" s="93"/>
      <c r="M5" s="94"/>
      <c r="N5" s="92"/>
      <c r="O5" s="95"/>
      <c r="P5" s="91"/>
      <c r="Q5" s="92"/>
      <c r="R5" s="93"/>
      <c r="S5" s="94"/>
      <c r="T5" s="92"/>
      <c r="U5" s="93"/>
      <c r="V5" s="94"/>
      <c r="W5" s="92"/>
      <c r="X5" s="93"/>
      <c r="Y5" s="94"/>
      <c r="Z5" s="92"/>
      <c r="AA5" s="95"/>
      <c r="AB5" s="91"/>
      <c r="AC5" s="92"/>
      <c r="AD5" s="93"/>
      <c r="AE5" s="94"/>
      <c r="AF5" s="92"/>
      <c r="AG5" s="93"/>
      <c r="AH5" s="94"/>
      <c r="AI5" s="92"/>
      <c r="AJ5" s="93"/>
      <c r="AK5" s="94"/>
      <c r="AL5" s="92"/>
      <c r="AM5" s="95"/>
      <c r="AN5" s="91"/>
      <c r="AO5" s="92"/>
      <c r="AP5" s="93"/>
      <c r="AQ5" s="94"/>
      <c r="AR5" s="92"/>
      <c r="AS5" s="93"/>
      <c r="AT5" s="94"/>
      <c r="AU5" s="92"/>
      <c r="AV5" s="93"/>
      <c r="AW5" s="94"/>
      <c r="AX5" s="92"/>
      <c r="AY5" s="95"/>
      <c r="AZ5" s="91"/>
      <c r="BA5" s="92"/>
      <c r="BB5" s="93"/>
      <c r="BC5" s="94"/>
      <c r="BD5" s="92"/>
      <c r="BE5" s="93"/>
      <c r="BF5" s="94"/>
      <c r="BG5" s="92"/>
      <c r="BH5" s="93"/>
      <c r="BI5" s="94"/>
      <c r="BJ5" s="92"/>
      <c r="BK5" s="95"/>
      <c r="BL5" s="91"/>
      <c r="BM5" s="92"/>
      <c r="BN5" s="93"/>
      <c r="BO5" s="94"/>
      <c r="BP5" s="92"/>
      <c r="BQ5" s="93"/>
      <c r="BR5" s="94"/>
      <c r="BS5" s="92"/>
      <c r="BT5" s="93"/>
      <c r="BU5" s="94"/>
      <c r="BV5" s="92"/>
      <c r="BW5" s="95"/>
      <c r="BX5" s="91"/>
      <c r="BY5" s="92"/>
      <c r="BZ5" s="93"/>
      <c r="CA5" s="94"/>
      <c r="CB5" s="92"/>
      <c r="CC5" s="93"/>
      <c r="CD5" s="94"/>
      <c r="CE5" s="92"/>
      <c r="CF5" s="93"/>
      <c r="CG5" s="94"/>
      <c r="CH5" s="92"/>
      <c r="CI5" s="95"/>
      <c r="CJ5" s="91"/>
      <c r="CK5" s="92"/>
      <c r="CL5" s="93"/>
      <c r="CM5" s="94"/>
      <c r="CN5" s="92"/>
      <c r="CO5" s="93"/>
      <c r="CP5" s="94"/>
      <c r="CQ5" s="92"/>
      <c r="CR5" s="93"/>
      <c r="CS5" s="94"/>
      <c r="CT5" s="92"/>
      <c r="CU5" s="95"/>
    </row>
    <row r="6" spans="1:99" ht="19.5" customHeight="1" thickBot="1" x14ac:dyDescent="0.3">
      <c r="B6" s="124"/>
      <c r="C6" s="102">
        <v>0</v>
      </c>
      <c r="D6" s="96"/>
      <c r="E6" s="97"/>
      <c r="F6" s="98"/>
      <c r="G6" s="99"/>
      <c r="H6" s="97"/>
      <c r="I6" s="98"/>
      <c r="J6" s="99"/>
      <c r="K6" s="97"/>
      <c r="L6" s="98"/>
      <c r="M6" s="99"/>
      <c r="N6" s="97"/>
      <c r="O6" s="100"/>
      <c r="P6" s="96"/>
      <c r="Q6" s="97"/>
      <c r="R6" s="98"/>
      <c r="S6" s="99"/>
      <c r="T6" s="97"/>
      <c r="U6" s="98"/>
      <c r="V6" s="99"/>
      <c r="W6" s="97"/>
      <c r="X6" s="98"/>
      <c r="Y6" s="99"/>
      <c r="Z6" s="97"/>
      <c r="AA6" s="100"/>
      <c r="AB6" s="96"/>
      <c r="AC6" s="97"/>
      <c r="AD6" s="98"/>
      <c r="AE6" s="99"/>
      <c r="AF6" s="97"/>
      <c r="AG6" s="98"/>
      <c r="AH6" s="99"/>
      <c r="AI6" s="97"/>
      <c r="AJ6" s="98"/>
      <c r="AK6" s="99"/>
      <c r="AL6" s="97"/>
      <c r="AM6" s="100"/>
      <c r="AN6" s="96"/>
      <c r="AO6" s="97"/>
      <c r="AP6" s="98"/>
      <c r="AQ6" s="99"/>
      <c r="AR6" s="97"/>
      <c r="AS6" s="98"/>
      <c r="AT6" s="99"/>
      <c r="AU6" s="97"/>
      <c r="AV6" s="98"/>
      <c r="AW6" s="99"/>
      <c r="AX6" s="97"/>
      <c r="AY6" s="100"/>
      <c r="AZ6" s="96"/>
      <c r="BA6" s="97"/>
      <c r="BB6" s="98"/>
      <c r="BC6" s="99"/>
      <c r="BD6" s="97"/>
      <c r="BE6" s="98"/>
      <c r="BF6" s="99"/>
      <c r="BG6" s="97"/>
      <c r="BH6" s="98"/>
      <c r="BI6" s="99"/>
      <c r="BJ6" s="97"/>
      <c r="BK6" s="100"/>
      <c r="BL6" s="96"/>
      <c r="BM6" s="97"/>
      <c r="BN6" s="98"/>
      <c r="BO6" s="99"/>
      <c r="BP6" s="97"/>
      <c r="BQ6" s="98"/>
      <c r="BR6" s="99"/>
      <c r="BS6" s="97"/>
      <c r="BT6" s="98"/>
      <c r="BU6" s="99"/>
      <c r="BV6" s="97"/>
      <c r="BW6" s="100"/>
      <c r="BX6" s="96"/>
      <c r="BY6" s="97"/>
      <c r="BZ6" s="98"/>
      <c r="CA6" s="99"/>
      <c r="CB6" s="97"/>
      <c r="CC6" s="98"/>
      <c r="CD6" s="99"/>
      <c r="CE6" s="97"/>
      <c r="CF6" s="98"/>
      <c r="CG6" s="99"/>
      <c r="CH6" s="97"/>
      <c r="CI6" s="100"/>
      <c r="CJ6" s="96"/>
      <c r="CK6" s="97"/>
      <c r="CL6" s="98"/>
      <c r="CM6" s="99"/>
      <c r="CN6" s="97"/>
      <c r="CO6" s="98"/>
      <c r="CP6" s="99"/>
      <c r="CQ6" s="97"/>
      <c r="CR6" s="98"/>
      <c r="CS6" s="99"/>
      <c r="CT6" s="97"/>
      <c r="CU6" s="100"/>
    </row>
    <row r="7" spans="1:99" ht="19.5" customHeight="1" x14ac:dyDescent="0.25">
      <c r="B7" s="125" t="str">
        <f>Donnees!$C$22</f>
        <v>Rapport</v>
      </c>
      <c r="C7" s="101">
        <v>0</v>
      </c>
      <c r="D7" s="91"/>
      <c r="E7" s="92"/>
      <c r="F7" s="93"/>
      <c r="G7" s="94"/>
      <c r="H7" s="92"/>
      <c r="I7" s="93"/>
      <c r="J7" s="94"/>
      <c r="K7" s="92"/>
      <c r="L7" s="93"/>
      <c r="M7" s="94"/>
      <c r="N7" s="92"/>
      <c r="O7" s="95"/>
      <c r="P7" s="91"/>
      <c r="Q7" s="92"/>
      <c r="R7" s="93"/>
      <c r="S7" s="94"/>
      <c r="T7" s="92"/>
      <c r="U7" s="93"/>
      <c r="V7" s="94"/>
      <c r="W7" s="92"/>
      <c r="X7" s="93"/>
      <c r="Y7" s="94"/>
      <c r="Z7" s="92"/>
      <c r="AA7" s="95"/>
      <c r="AB7" s="91"/>
      <c r="AC7" s="92"/>
      <c r="AD7" s="93"/>
      <c r="AE7" s="94"/>
      <c r="AF7" s="92"/>
      <c r="AG7" s="93"/>
      <c r="AH7" s="94"/>
      <c r="AI7" s="92"/>
      <c r="AJ7" s="93"/>
      <c r="AK7" s="94"/>
      <c r="AL7" s="92"/>
      <c r="AM7" s="95"/>
      <c r="AN7" s="91"/>
      <c r="AO7" s="92"/>
      <c r="AP7" s="93"/>
      <c r="AQ7" s="94"/>
      <c r="AR7" s="92"/>
      <c r="AS7" s="93"/>
      <c r="AT7" s="94"/>
      <c r="AU7" s="92"/>
      <c r="AV7" s="93"/>
      <c r="AW7" s="94"/>
      <c r="AX7" s="92"/>
      <c r="AY7" s="95"/>
      <c r="AZ7" s="91"/>
      <c r="BA7" s="92"/>
      <c r="BB7" s="93"/>
      <c r="BC7" s="94"/>
      <c r="BD7" s="92"/>
      <c r="BE7" s="93"/>
      <c r="BF7" s="94"/>
      <c r="BG7" s="92"/>
      <c r="BH7" s="93"/>
      <c r="BI7" s="94"/>
      <c r="BJ7" s="92"/>
      <c r="BK7" s="95"/>
      <c r="BL7" s="91"/>
      <c r="BM7" s="92"/>
      <c r="BN7" s="93"/>
      <c r="BO7" s="94"/>
      <c r="BP7" s="92"/>
      <c r="BQ7" s="93"/>
      <c r="BR7" s="94"/>
      <c r="BS7" s="92"/>
      <c r="BT7" s="93"/>
      <c r="BU7" s="94"/>
      <c r="BV7" s="92"/>
      <c r="BW7" s="95"/>
      <c r="BX7" s="91"/>
      <c r="BY7" s="92"/>
      <c r="BZ7" s="93"/>
      <c r="CA7" s="94"/>
      <c r="CB7" s="92"/>
      <c r="CC7" s="93"/>
      <c r="CD7" s="94"/>
      <c r="CE7" s="92"/>
      <c r="CF7" s="93"/>
      <c r="CG7" s="94"/>
      <c r="CH7" s="92"/>
      <c r="CI7" s="95"/>
      <c r="CJ7" s="91"/>
      <c r="CK7" s="92"/>
      <c r="CL7" s="93"/>
      <c r="CM7" s="94"/>
      <c r="CN7" s="92"/>
      <c r="CO7" s="93"/>
      <c r="CP7" s="94"/>
      <c r="CQ7" s="92"/>
      <c r="CR7" s="93"/>
      <c r="CS7" s="94"/>
      <c r="CT7" s="92"/>
      <c r="CU7" s="95"/>
    </row>
    <row r="8" spans="1:99" ht="19.5" customHeight="1" x14ac:dyDescent="0.25">
      <c r="B8" s="124"/>
      <c r="C8" s="102">
        <v>0</v>
      </c>
      <c r="D8" s="96"/>
      <c r="E8" s="97"/>
      <c r="F8" s="98"/>
      <c r="G8" s="99"/>
      <c r="H8" s="97"/>
      <c r="I8" s="98"/>
      <c r="J8" s="99"/>
      <c r="K8" s="97"/>
      <c r="L8" s="98"/>
      <c r="M8" s="99"/>
      <c r="N8" s="97"/>
      <c r="O8" s="100"/>
      <c r="P8" s="96"/>
      <c r="Q8" s="97"/>
      <c r="R8" s="98"/>
      <c r="S8" s="99"/>
      <c r="T8" s="97"/>
      <c r="U8" s="98"/>
      <c r="V8" s="99"/>
      <c r="W8" s="97"/>
      <c r="X8" s="98"/>
      <c r="Y8" s="99"/>
      <c r="Z8" s="97"/>
      <c r="AA8" s="100"/>
      <c r="AB8" s="96"/>
      <c r="AC8" s="97"/>
      <c r="AD8" s="98"/>
      <c r="AE8" s="99"/>
      <c r="AF8" s="97"/>
      <c r="AG8" s="98"/>
      <c r="AH8" s="99"/>
      <c r="AI8" s="97"/>
      <c r="AJ8" s="98"/>
      <c r="AK8" s="99"/>
      <c r="AL8" s="97"/>
      <c r="AM8" s="100"/>
      <c r="AN8" s="96"/>
      <c r="AO8" s="97"/>
      <c r="AP8" s="98"/>
      <c r="AQ8" s="99"/>
      <c r="AR8" s="97"/>
      <c r="AS8" s="98"/>
      <c r="AT8" s="99"/>
      <c r="AU8" s="97"/>
      <c r="AV8" s="98"/>
      <c r="AW8" s="99"/>
      <c r="AX8" s="97"/>
      <c r="AY8" s="100"/>
      <c r="AZ8" s="96"/>
      <c r="BA8" s="97"/>
      <c r="BB8" s="98"/>
      <c r="BC8" s="99"/>
      <c r="BD8" s="97"/>
      <c r="BE8" s="98"/>
      <c r="BF8" s="99"/>
      <c r="BG8" s="97"/>
      <c r="BH8" s="98"/>
      <c r="BI8" s="99"/>
      <c r="BJ8" s="97"/>
      <c r="BK8" s="100"/>
      <c r="BL8" s="96"/>
      <c r="BM8" s="97"/>
      <c r="BN8" s="98"/>
      <c r="BO8" s="99"/>
      <c r="BP8" s="97"/>
      <c r="BQ8" s="98"/>
      <c r="BR8" s="99"/>
      <c r="BS8" s="97"/>
      <c r="BT8" s="98"/>
      <c r="BU8" s="99"/>
      <c r="BV8" s="97"/>
      <c r="BW8" s="100"/>
      <c r="BX8" s="96"/>
      <c r="BY8" s="97"/>
      <c r="BZ8" s="98"/>
      <c r="CA8" s="99"/>
      <c r="CB8" s="97"/>
      <c r="CC8" s="98"/>
      <c r="CD8" s="99"/>
      <c r="CE8" s="97"/>
      <c r="CF8" s="98"/>
      <c r="CG8" s="99"/>
      <c r="CH8" s="97"/>
      <c r="CI8" s="100"/>
      <c r="CJ8" s="96"/>
      <c r="CK8" s="97"/>
      <c r="CL8" s="98"/>
      <c r="CM8" s="99"/>
      <c r="CN8" s="97"/>
      <c r="CO8" s="98"/>
      <c r="CP8" s="99"/>
      <c r="CQ8" s="97"/>
      <c r="CR8" s="98"/>
      <c r="CS8" s="99"/>
      <c r="CT8" s="97"/>
      <c r="CU8" s="100"/>
    </row>
    <row r="9" spans="1:99" ht="19.5" customHeight="1" x14ac:dyDescent="0.25">
      <c r="B9" s="25" t="s">
        <v>16</v>
      </c>
      <c r="C9" s="27">
        <f>SUM($C$3,$C$5,$C$7)</f>
        <v>0</v>
      </c>
      <c r="D9" s="103"/>
      <c r="E9" s="104"/>
      <c r="F9" s="104"/>
      <c r="G9" s="104"/>
      <c r="H9" s="104"/>
      <c r="I9" s="104"/>
      <c r="J9" s="104"/>
      <c r="K9" s="104"/>
      <c r="L9" s="104"/>
      <c r="M9" s="104"/>
      <c r="N9" s="104"/>
      <c r="O9" s="105"/>
      <c r="P9" s="103"/>
      <c r="Q9" s="104"/>
      <c r="R9" s="104"/>
      <c r="S9" s="104"/>
      <c r="T9" s="104"/>
      <c r="U9" s="104"/>
      <c r="V9" s="104"/>
      <c r="W9" s="104"/>
      <c r="X9" s="104"/>
      <c r="Y9" s="104"/>
      <c r="Z9" s="104"/>
      <c r="AA9" s="105"/>
      <c r="AB9" s="103"/>
      <c r="AC9" s="104"/>
      <c r="AD9" s="104"/>
      <c r="AE9" s="104"/>
      <c r="AF9" s="104"/>
      <c r="AG9" s="104"/>
      <c r="AH9" s="104"/>
      <c r="AI9" s="104"/>
      <c r="AJ9" s="104"/>
      <c r="AK9" s="104"/>
      <c r="AL9" s="104"/>
      <c r="AM9" s="105"/>
      <c r="AN9" s="103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5"/>
      <c r="AZ9" s="103"/>
      <c r="BA9" s="104"/>
      <c r="BB9" s="104"/>
      <c r="BC9" s="104"/>
      <c r="BD9" s="104"/>
      <c r="BE9" s="104"/>
      <c r="BF9" s="104"/>
      <c r="BG9" s="104"/>
      <c r="BH9" s="104"/>
      <c r="BI9" s="104"/>
      <c r="BJ9" s="104"/>
      <c r="BK9" s="105"/>
      <c r="BL9" s="103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5"/>
      <c r="BX9" s="103"/>
      <c r="BY9" s="104"/>
      <c r="BZ9" s="104"/>
      <c r="CA9" s="104"/>
      <c r="CB9" s="104"/>
      <c r="CC9" s="104"/>
      <c r="CD9" s="104"/>
      <c r="CE9" s="104"/>
      <c r="CF9" s="104"/>
      <c r="CG9" s="104"/>
      <c r="CH9" s="104"/>
      <c r="CI9" s="105"/>
      <c r="CJ9" s="103"/>
      <c r="CK9" s="104"/>
      <c r="CL9" s="104"/>
      <c r="CM9" s="104"/>
      <c r="CN9" s="104"/>
      <c r="CO9" s="104"/>
      <c r="CP9" s="104"/>
      <c r="CQ9" s="104"/>
      <c r="CR9" s="104"/>
      <c r="CS9" s="104"/>
      <c r="CT9" s="104"/>
      <c r="CU9" s="105"/>
    </row>
    <row r="10" spans="1:99" ht="19.5" customHeight="1" thickBot="1" x14ac:dyDescent="0.3">
      <c r="B10" s="26" t="s">
        <v>17</v>
      </c>
      <c r="C10" s="28">
        <f>SUM($C$4,$C$6,$C$8)</f>
        <v>0</v>
      </c>
      <c r="D10" s="106"/>
      <c r="E10" s="107"/>
      <c r="F10" s="107"/>
      <c r="G10" s="107"/>
      <c r="H10" s="107"/>
      <c r="I10" s="107"/>
      <c r="J10" s="107"/>
      <c r="K10" s="107"/>
      <c r="L10" s="107"/>
      <c r="M10" s="107"/>
      <c r="N10" s="107"/>
      <c r="O10" s="108"/>
      <c r="P10" s="106"/>
      <c r="Q10" s="107"/>
      <c r="R10" s="107"/>
      <c r="S10" s="107"/>
      <c r="T10" s="107"/>
      <c r="U10" s="107"/>
      <c r="V10" s="107"/>
      <c r="W10" s="107"/>
      <c r="X10" s="107"/>
      <c r="Y10" s="107"/>
      <c r="Z10" s="107"/>
      <c r="AA10" s="108"/>
      <c r="AB10" s="106"/>
      <c r="AC10" s="107"/>
      <c r="AD10" s="107"/>
      <c r="AE10" s="107"/>
      <c r="AF10" s="107"/>
      <c r="AG10" s="107"/>
      <c r="AH10" s="107"/>
      <c r="AI10" s="107"/>
      <c r="AJ10" s="107"/>
      <c r="AK10" s="107"/>
      <c r="AL10" s="107"/>
      <c r="AM10" s="108"/>
      <c r="AN10" s="106"/>
      <c r="AO10" s="107"/>
      <c r="AP10" s="107"/>
      <c r="AQ10" s="107"/>
      <c r="AR10" s="107"/>
      <c r="AS10" s="107"/>
      <c r="AT10" s="107"/>
      <c r="AU10" s="107"/>
      <c r="AV10" s="107"/>
      <c r="AW10" s="107"/>
      <c r="AX10" s="107"/>
      <c r="AY10" s="108"/>
      <c r="AZ10" s="106"/>
      <c r="BA10" s="107"/>
      <c r="BB10" s="107"/>
      <c r="BC10" s="107"/>
      <c r="BD10" s="107"/>
      <c r="BE10" s="107"/>
      <c r="BF10" s="107"/>
      <c r="BG10" s="107"/>
      <c r="BH10" s="107"/>
      <c r="BI10" s="107"/>
      <c r="BJ10" s="107"/>
      <c r="BK10" s="108"/>
      <c r="BL10" s="106"/>
      <c r="BM10" s="107"/>
      <c r="BN10" s="107"/>
      <c r="BO10" s="107"/>
      <c r="BP10" s="107"/>
      <c r="BQ10" s="107"/>
      <c r="BR10" s="107"/>
      <c r="BS10" s="107"/>
      <c r="BT10" s="107"/>
      <c r="BU10" s="107"/>
      <c r="BV10" s="107"/>
      <c r="BW10" s="108"/>
      <c r="BX10" s="106"/>
      <c r="BY10" s="107"/>
      <c r="BZ10" s="107"/>
      <c r="CA10" s="107"/>
      <c r="CB10" s="107"/>
      <c r="CC10" s="107"/>
      <c r="CD10" s="107"/>
      <c r="CE10" s="107"/>
      <c r="CF10" s="107"/>
      <c r="CG10" s="107"/>
      <c r="CH10" s="107"/>
      <c r="CI10" s="108"/>
      <c r="CJ10" s="106"/>
      <c r="CK10" s="107"/>
      <c r="CL10" s="107"/>
      <c r="CM10" s="107"/>
      <c r="CN10" s="107"/>
      <c r="CO10" s="107"/>
      <c r="CP10" s="107"/>
      <c r="CQ10" s="107"/>
      <c r="CR10" s="107"/>
      <c r="CS10" s="107"/>
      <c r="CT10" s="107"/>
      <c r="CU10" s="108"/>
    </row>
    <row r="14" spans="1:99" ht="19.5" customHeight="1" x14ac:dyDescent="0.25">
      <c r="C14" s="109"/>
    </row>
    <row r="15" spans="1:99" ht="19.5" customHeight="1" x14ac:dyDescent="0.25">
      <c r="C15" s="109"/>
    </row>
    <row r="16" spans="1:99" ht="19.5" customHeight="1" x14ac:dyDescent="0.25">
      <c r="A16" s="110"/>
    </row>
  </sheetData>
  <sheetProtection sheet="1" objects="1" scenarios="1" insertRows="0" selectLockedCells="1"/>
  <mergeCells count="11">
    <mergeCell ref="AN2:AY2"/>
    <mergeCell ref="AZ2:BK2"/>
    <mergeCell ref="BL2:BW2"/>
    <mergeCell ref="BX2:CI2"/>
    <mergeCell ref="CJ2:CU2"/>
    <mergeCell ref="AB2:AM2"/>
    <mergeCell ref="B3:B4"/>
    <mergeCell ref="B5:B6"/>
    <mergeCell ref="B7:B8"/>
    <mergeCell ref="D2:O2"/>
    <mergeCell ref="P2:AA2"/>
  </mergeCells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9">
      <formula1>0</formula1>
      <formula2>$C$9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:D16"/>
  <sheetViews>
    <sheetView workbookViewId="0">
      <selection activeCell="C30" sqref="C30"/>
    </sheetView>
  </sheetViews>
  <sheetFormatPr baseColWidth="10" defaultColWidth="1.5703125" defaultRowHeight="19.5" customHeight="1" x14ac:dyDescent="0.25"/>
  <cols>
    <col min="1" max="1" width="17.85546875" style="29" customWidth="1"/>
    <col min="2" max="2" width="51.28515625" style="29" customWidth="1"/>
    <col min="3" max="3" width="19.42578125" style="29" customWidth="1"/>
    <col min="4" max="16384" width="1.5703125" style="29"/>
  </cols>
  <sheetData>
    <row r="1" spans="1:4" ht="14.25" thickBot="1" x14ac:dyDescent="0.3">
      <c r="B1" s="21"/>
      <c r="C1" s="21"/>
    </row>
    <row r="2" spans="1:4" ht="42.75" customHeight="1" thickBot="1" x14ac:dyDescent="0.3">
      <c r="A2" s="19"/>
      <c r="B2" s="23" t="s">
        <v>5</v>
      </c>
      <c r="C2" s="15" t="s">
        <v>18</v>
      </c>
    </row>
    <row r="3" spans="1:4" ht="19.5" customHeight="1" x14ac:dyDescent="0.25">
      <c r="A3" s="19"/>
      <c r="B3" s="121" t="s">
        <v>21</v>
      </c>
      <c r="C3" s="16">
        <v>0</v>
      </c>
    </row>
    <row r="4" spans="1:4" ht="19.5" customHeight="1" x14ac:dyDescent="0.25">
      <c r="A4" s="19"/>
      <c r="B4" s="126"/>
      <c r="C4" s="22">
        <v>0</v>
      </c>
      <c r="D4" s="30"/>
    </row>
    <row r="5" spans="1:4" ht="19.5" customHeight="1" x14ac:dyDescent="0.25">
      <c r="B5" s="20"/>
      <c r="C5" s="20"/>
    </row>
    <row r="14" spans="1:4" ht="19.5" customHeight="1" x14ac:dyDescent="0.25">
      <c r="C14" s="20"/>
    </row>
    <row r="15" spans="1:4" ht="19.5" customHeight="1" x14ac:dyDescent="0.25">
      <c r="C15" s="20"/>
    </row>
    <row r="16" spans="1:4" ht="19.5" customHeight="1" x14ac:dyDescent="0.25">
      <c r="A16" s="42"/>
    </row>
  </sheetData>
  <mergeCells count="1">
    <mergeCell ref="B3:B4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B3:E39"/>
  <sheetViews>
    <sheetView workbookViewId="0">
      <selection activeCell="J21" sqref="J21"/>
    </sheetView>
  </sheetViews>
  <sheetFormatPr baseColWidth="10" defaultRowHeight="13.5" x14ac:dyDescent="0.25"/>
  <cols>
    <col min="2" max="2" width="51.85546875" customWidth="1"/>
    <col min="3" max="3" width="35" customWidth="1"/>
  </cols>
  <sheetData>
    <row r="3" spans="2:3" ht="27.75" customHeight="1" x14ac:dyDescent="0.25">
      <c r="B3" s="25" t="s">
        <v>16</v>
      </c>
      <c r="C3" s="27">
        <v>0</v>
      </c>
    </row>
    <row r="4" spans="2:3" ht="18.75" thickBot="1" x14ac:dyDescent="0.3">
      <c r="B4" s="26" t="s">
        <v>17</v>
      </c>
      <c r="C4" s="28">
        <v>0</v>
      </c>
    </row>
    <row r="39" spans="5:5" x14ac:dyDescent="0.25">
      <c r="E39" s="24"/>
    </row>
  </sheetData>
  <dataValidations count="1">
    <dataValidation type="whole" allowBlank="1" showInputMessage="1" showErrorMessage="1" errorTitle="DureeTropLongue" error="Cette durée est invalide: ce n'est pas un chiffre entier positif ou elle dépasse la &quot;Durée totale&quot; définie plus haut ..." sqref="C3">
      <formula1>0</formula1>
      <formula2>$C$9</formula2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I34"/>
  <sheetViews>
    <sheetView workbookViewId="0">
      <selection activeCell="D1" sqref="D1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3"/>
      <c r="D13" s="13"/>
    </row>
    <row r="14" spans="1:4" ht="14.25" x14ac:dyDescent="0.3">
      <c r="A14" s="14"/>
      <c r="B14" s="14"/>
      <c r="C14" s="14"/>
      <c r="D14" s="14"/>
    </row>
    <row r="18" spans="1:9" x14ac:dyDescent="0.25">
      <c r="A18" s="20"/>
      <c r="B18" s="20"/>
      <c r="C18" s="20"/>
      <c r="D18" s="20"/>
    </row>
    <row r="19" spans="1:9" x14ac:dyDescent="0.25">
      <c r="A19" s="20"/>
      <c r="B19" s="20"/>
      <c r="C19" s="20"/>
      <c r="D19" s="20"/>
      <c r="E19" s="20"/>
      <c r="F19" s="20"/>
      <c r="G19" s="20"/>
      <c r="H19" s="20"/>
      <c r="I19" s="20"/>
    </row>
    <row r="20" spans="1:9" ht="12.75" customHeight="1" x14ac:dyDescent="0.25">
      <c r="A20" s="31"/>
      <c r="B20" s="32"/>
      <c r="C20" s="33"/>
      <c r="D20" s="34"/>
      <c r="E20" s="20"/>
      <c r="F20" s="32"/>
      <c r="G20" s="33"/>
      <c r="H20" s="34"/>
      <c r="I20" s="20"/>
    </row>
    <row r="21" spans="1:9" ht="15" x14ac:dyDescent="0.25">
      <c r="A21" s="31"/>
      <c r="B21" s="35"/>
      <c r="C21" s="31"/>
      <c r="D21" s="31"/>
      <c r="E21" s="20"/>
      <c r="F21" s="35"/>
      <c r="G21" s="31"/>
      <c r="H21" s="31"/>
      <c r="I21" s="20"/>
    </row>
    <row r="22" spans="1:9" x14ac:dyDescent="0.25">
      <c r="A22" s="36"/>
      <c r="B22" s="37"/>
      <c r="C22" s="38"/>
      <c r="D22" s="38"/>
      <c r="E22" s="20"/>
      <c r="F22" s="37"/>
      <c r="G22" s="38"/>
      <c r="H22" s="38"/>
      <c r="I22" s="20"/>
    </row>
    <row r="23" spans="1:9" x14ac:dyDescent="0.25">
      <c r="A23" s="36"/>
      <c r="B23" s="37"/>
      <c r="C23" s="38"/>
      <c r="D23" s="38"/>
      <c r="E23" s="20"/>
      <c r="F23" s="37"/>
      <c r="G23" s="38"/>
      <c r="H23" s="38"/>
      <c r="I23" s="20"/>
    </row>
    <row r="24" spans="1:9" x14ac:dyDescent="0.25">
      <c r="A24" s="36"/>
      <c r="B24" s="37"/>
      <c r="C24" s="38"/>
      <c r="D24" s="38"/>
      <c r="E24" s="20"/>
      <c r="F24" s="37"/>
      <c r="G24" s="38"/>
      <c r="H24" s="38"/>
      <c r="I24" s="20"/>
    </row>
    <row r="25" spans="1:9" x14ac:dyDescent="0.25">
      <c r="A25" s="36"/>
      <c r="B25" s="37"/>
      <c r="C25" s="38"/>
      <c r="D25" s="38"/>
      <c r="E25" s="20"/>
      <c r="F25" s="37"/>
      <c r="G25" s="38"/>
      <c r="H25" s="38"/>
      <c r="I25" s="20"/>
    </row>
    <row r="26" spans="1:9" x14ac:dyDescent="0.25">
      <c r="A26" s="37"/>
      <c r="B26" s="37"/>
      <c r="C26" s="38"/>
      <c r="D26" s="38"/>
      <c r="E26" s="20"/>
      <c r="F26" s="37"/>
      <c r="G26" s="38"/>
      <c r="H26" s="38"/>
      <c r="I26" s="20"/>
    </row>
    <row r="27" spans="1:9" x14ac:dyDescent="0.25">
      <c r="A27" s="37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7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7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9"/>
      <c r="B30" s="39"/>
      <c r="C30" s="40"/>
      <c r="D30" s="40"/>
      <c r="E30" s="20"/>
      <c r="F30" s="39"/>
      <c r="G30" s="40"/>
      <c r="H30" s="40"/>
      <c r="I30" s="20"/>
    </row>
    <row r="31" spans="1:9" ht="14.25" x14ac:dyDescent="0.3">
      <c r="A31" s="41"/>
      <c r="B31" s="41"/>
      <c r="C31" s="41"/>
      <c r="D31" s="41"/>
      <c r="E31" s="20"/>
      <c r="F31" s="41"/>
      <c r="G31" s="41"/>
      <c r="H31" s="41"/>
      <c r="I31" s="20"/>
    </row>
    <row r="32" spans="1:9" x14ac:dyDescent="0.25">
      <c r="A32" s="20"/>
      <c r="B32" s="20"/>
      <c r="C32" s="20"/>
      <c r="D32" s="20"/>
      <c r="E32" s="20"/>
      <c r="F32" s="20"/>
      <c r="G32" s="20"/>
      <c r="H32" s="20"/>
      <c r="I32" s="20"/>
    </row>
    <row r="33" spans="5:9" x14ac:dyDescent="0.25">
      <c r="E33" s="20"/>
      <c r="F33" s="20"/>
      <c r="G33" s="20"/>
      <c r="H33" s="20"/>
      <c r="I33" s="20"/>
    </row>
    <row r="34" spans="5:9" x14ac:dyDescent="0.25">
      <c r="E34" s="20"/>
      <c r="F34" s="20"/>
      <c r="G34" s="20"/>
      <c r="H34" s="20"/>
      <c r="I34" s="20"/>
    </row>
  </sheetData>
  <dataValidations count="5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 B30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B3:B12 B22:B29 F22:F29">
      <formula1>0</formula1>
    </dataValidation>
    <dataValidation type="list" allowBlank="1" showInputMessage="1" showErrorMessage="1" sqref="A22:A29">
      <formula1>ListeTaches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">
      <formula1>0</formula1>
      <formula2>NbPerWeek * NbQuartPer</formula2>
    </dataValidation>
    <dataValidation type="list" allowBlank="1" showInputMessage="1" showErrorMessage="1" sqref="A3:A12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8438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18438" r:id="rId4" name="btnImportPlanification"/>
      </mc:Fallback>
    </mc:AlternateContent>
  </control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5"/>
  <dimension ref="A1:I113"/>
  <sheetViews>
    <sheetView workbookViewId="0"/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6" t="s">
        <v>14</v>
      </c>
      <c r="B1" s="7">
        <v>1</v>
      </c>
      <c r="C1" s="17"/>
      <c r="D1" s="87"/>
    </row>
    <row r="2" spans="1:4" ht="27.75" thickBot="1" x14ac:dyDescent="0.3">
      <c r="A2" s="8" t="s">
        <v>3</v>
      </c>
      <c r="B2" s="18" t="s">
        <v>15</v>
      </c>
      <c r="C2" s="8" t="s">
        <v>7</v>
      </c>
      <c r="D2" s="8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2"/>
      <c r="B9" s="2"/>
      <c r="C9" s="10"/>
      <c r="D9" s="10"/>
    </row>
    <row r="10" spans="1:4" s="53" customFormat="1" x14ac:dyDescent="0.25">
      <c r="A10" s="2"/>
      <c r="B10" s="2"/>
      <c r="C10" s="10"/>
      <c r="D10" s="10"/>
    </row>
    <row r="11" spans="1:4" s="53" customFormat="1" x14ac:dyDescent="0.25">
      <c r="A11" s="2"/>
      <c r="B11" s="2"/>
      <c r="C11" s="10"/>
      <c r="D11" s="10"/>
    </row>
    <row r="12" spans="1:4" s="53" customFormat="1" ht="14.25" thickBot="1" x14ac:dyDescent="0.3">
      <c r="A12" s="3"/>
      <c r="B12" s="3"/>
      <c r="C12" s="11"/>
      <c r="D12" s="11"/>
    </row>
    <row r="13" spans="1:4" ht="14.25" thickBot="1" x14ac:dyDescent="0.3">
      <c r="A13" s="12" t="s">
        <v>22</v>
      </c>
      <c r="B13" s="12">
        <f>SUM(B3:B12)</f>
        <v>0</v>
      </c>
      <c r="C13" s="111" t="s">
        <v>38</v>
      </c>
      <c r="D13" s="13"/>
    </row>
    <row r="14" spans="1:4" ht="15" thickBot="1" x14ac:dyDescent="0.35">
      <c r="A14" s="14"/>
      <c r="B14" s="14"/>
      <c r="C14" s="14"/>
      <c r="D14" s="14"/>
    </row>
    <row r="15" spans="1:4" ht="18.75" thickBot="1" x14ac:dyDescent="0.3">
      <c r="A15" s="6" t="s">
        <v>14</v>
      </c>
      <c r="B15" s="7">
        <v>2</v>
      </c>
      <c r="C15" s="17"/>
      <c r="D15" s="87"/>
    </row>
    <row r="16" spans="1:4" ht="27.75" thickBot="1" x14ac:dyDescent="0.3">
      <c r="A16" s="8" t="s">
        <v>3</v>
      </c>
      <c r="B16" s="18" t="s">
        <v>15</v>
      </c>
      <c r="C16" s="8" t="s">
        <v>7</v>
      </c>
      <c r="D16" s="8" t="s">
        <v>13</v>
      </c>
    </row>
    <row r="17" spans="1:9" x14ac:dyDescent="0.25">
      <c r="A17" s="5"/>
      <c r="B17" s="4"/>
      <c r="C17" s="9"/>
      <c r="D17" s="9"/>
    </row>
    <row r="18" spans="1:9" x14ac:dyDescent="0.25">
      <c r="A18" s="1"/>
      <c r="B18" s="2"/>
      <c r="C18" s="10"/>
      <c r="D18" s="10"/>
    </row>
    <row r="19" spans="1:9" x14ac:dyDescent="0.25">
      <c r="A19" s="1"/>
      <c r="B19" s="2"/>
      <c r="C19" s="10"/>
      <c r="D19" s="10"/>
      <c r="E19" s="20"/>
      <c r="F19" s="20"/>
      <c r="G19" s="20"/>
      <c r="H19" s="20"/>
      <c r="I19" s="20"/>
    </row>
    <row r="20" spans="1:9" ht="12.75" customHeight="1" x14ac:dyDescent="0.25">
      <c r="A20" s="1"/>
      <c r="B20" s="2"/>
      <c r="C20" s="10"/>
      <c r="D20" s="10"/>
      <c r="E20" s="20"/>
      <c r="F20" s="32"/>
      <c r="G20" s="33"/>
      <c r="H20" s="34"/>
      <c r="I20" s="20"/>
    </row>
    <row r="21" spans="1:9" ht="15" x14ac:dyDescent="0.25">
      <c r="A21" s="1"/>
      <c r="B21" s="2"/>
      <c r="C21" s="10"/>
      <c r="D21" s="10"/>
      <c r="E21" s="20"/>
      <c r="F21" s="35"/>
      <c r="G21" s="31"/>
      <c r="H21" s="31"/>
      <c r="I21" s="20"/>
    </row>
    <row r="22" spans="1:9" x14ac:dyDescent="0.25">
      <c r="A22" s="1"/>
      <c r="B22" s="2"/>
      <c r="C22" s="10"/>
      <c r="D22" s="10"/>
      <c r="E22" s="20"/>
      <c r="F22" s="37"/>
      <c r="G22" s="38"/>
      <c r="H22" s="38"/>
      <c r="I22" s="20"/>
    </row>
    <row r="23" spans="1:9" x14ac:dyDescent="0.25">
      <c r="A23" s="2"/>
      <c r="B23" s="2"/>
      <c r="C23" s="10"/>
      <c r="D23" s="10"/>
      <c r="E23" s="20"/>
      <c r="F23" s="37"/>
      <c r="G23" s="38"/>
      <c r="H23" s="38"/>
      <c r="I23" s="20"/>
    </row>
    <row r="24" spans="1:9" x14ac:dyDescent="0.25">
      <c r="A24" s="2"/>
      <c r="B24" s="2"/>
      <c r="C24" s="10"/>
      <c r="D24" s="10"/>
      <c r="E24" s="20"/>
      <c r="F24" s="37"/>
      <c r="G24" s="38"/>
      <c r="H24" s="38"/>
      <c r="I24" s="20"/>
    </row>
    <row r="25" spans="1:9" x14ac:dyDescent="0.25">
      <c r="A25" s="2"/>
      <c r="B25" s="2"/>
      <c r="C25" s="10"/>
      <c r="D25" s="10"/>
      <c r="E25" s="20"/>
      <c r="F25" s="37"/>
      <c r="G25" s="38"/>
      <c r="H25" s="38"/>
      <c r="I25" s="20"/>
    </row>
    <row r="26" spans="1:9" ht="14.25" thickBot="1" x14ac:dyDescent="0.3">
      <c r="A26" s="3"/>
      <c r="B26" s="3"/>
      <c r="C26" s="11"/>
      <c r="D26" s="11"/>
      <c r="E26" s="20"/>
      <c r="F26" s="37"/>
      <c r="G26" s="38"/>
      <c r="H26" s="38"/>
      <c r="I26" s="20"/>
    </row>
    <row r="27" spans="1:9" ht="14.25" thickBot="1" x14ac:dyDescent="0.3">
      <c r="A27" s="12" t="s">
        <v>22</v>
      </c>
      <c r="B27" s="12">
        <f>SUM(B17:B26)</f>
        <v>0</v>
      </c>
      <c r="C27" s="111" t="s">
        <v>38</v>
      </c>
      <c r="D27" s="13"/>
      <c r="E27" s="20"/>
      <c r="F27" s="37"/>
      <c r="G27" s="38"/>
      <c r="H27" s="38"/>
      <c r="I27" s="20"/>
    </row>
    <row r="28" spans="1:9" ht="15" thickBot="1" x14ac:dyDescent="0.35">
      <c r="A28" s="14"/>
      <c r="B28" s="14"/>
      <c r="C28" s="14"/>
      <c r="D28" s="14"/>
      <c r="E28" s="20"/>
      <c r="F28" s="37"/>
      <c r="G28" s="38"/>
      <c r="H28" s="38"/>
      <c r="I28" s="20"/>
    </row>
    <row r="29" spans="1:9" ht="18.75" thickBot="1" x14ac:dyDescent="0.3">
      <c r="A29" s="6" t="s">
        <v>14</v>
      </c>
      <c r="B29" s="7">
        <v>3</v>
      </c>
      <c r="C29" s="17"/>
      <c r="D29" s="87"/>
      <c r="E29" s="20"/>
      <c r="F29" s="37"/>
      <c r="G29" s="38"/>
      <c r="H29" s="38"/>
      <c r="I29" s="20"/>
    </row>
    <row r="30" spans="1:9" ht="27.75" thickBot="1" x14ac:dyDescent="0.3">
      <c r="A30" s="8" t="s">
        <v>3</v>
      </c>
      <c r="B30" s="18" t="s">
        <v>15</v>
      </c>
      <c r="C30" s="8" t="s">
        <v>7</v>
      </c>
      <c r="D30" s="8" t="s">
        <v>13</v>
      </c>
      <c r="E30" s="20"/>
      <c r="F30" s="39"/>
      <c r="G30" s="40"/>
      <c r="H30" s="40"/>
      <c r="I30" s="20"/>
    </row>
    <row r="31" spans="1:9" ht="14.25" x14ac:dyDescent="0.3">
      <c r="A31" s="5"/>
      <c r="B31" s="4"/>
      <c r="C31" s="9"/>
      <c r="D31" s="9"/>
      <c r="E31" s="20"/>
      <c r="F31" s="41"/>
      <c r="G31" s="41"/>
      <c r="H31" s="41"/>
      <c r="I31" s="20"/>
    </row>
    <row r="32" spans="1:9" x14ac:dyDescent="0.25">
      <c r="A32" s="1"/>
      <c r="B32" s="2"/>
      <c r="C32" s="10"/>
      <c r="D32" s="10"/>
      <c r="E32" s="20"/>
      <c r="F32" s="20"/>
      <c r="G32" s="20"/>
      <c r="H32" s="20"/>
      <c r="I32" s="20"/>
    </row>
    <row r="33" spans="1:9" x14ac:dyDescent="0.25">
      <c r="A33" s="1"/>
      <c r="B33" s="2"/>
      <c r="C33" s="10"/>
      <c r="D33" s="10"/>
      <c r="E33" s="20"/>
      <c r="F33" s="20"/>
      <c r="G33" s="20"/>
      <c r="H33" s="20"/>
      <c r="I33" s="20"/>
    </row>
    <row r="34" spans="1:9" x14ac:dyDescent="0.25">
      <c r="A34" s="1"/>
      <c r="B34" s="2"/>
      <c r="C34" s="10"/>
      <c r="D34" s="10"/>
      <c r="E34" s="20"/>
      <c r="F34" s="20"/>
      <c r="G34" s="20"/>
      <c r="H34" s="20"/>
      <c r="I34" s="20"/>
    </row>
    <row r="35" spans="1:9" x14ac:dyDescent="0.25">
      <c r="A35" s="1"/>
      <c r="B35" s="2"/>
      <c r="C35" s="10"/>
      <c r="D35" s="10"/>
    </row>
    <row r="36" spans="1:9" x14ac:dyDescent="0.25">
      <c r="A36" s="1"/>
      <c r="B36" s="2"/>
      <c r="C36" s="10"/>
      <c r="D36" s="10"/>
    </row>
    <row r="37" spans="1:9" x14ac:dyDescent="0.25">
      <c r="A37" s="2"/>
      <c r="B37" s="2"/>
      <c r="C37" s="10"/>
      <c r="D37" s="10"/>
    </row>
    <row r="38" spans="1:9" x14ac:dyDescent="0.25">
      <c r="A38" s="2"/>
      <c r="B38" s="2"/>
      <c r="C38" s="10"/>
      <c r="D38" s="10"/>
    </row>
    <row r="39" spans="1:9" x14ac:dyDescent="0.25">
      <c r="A39" s="2"/>
      <c r="B39" s="2"/>
      <c r="C39" s="10"/>
      <c r="D39" s="10"/>
    </row>
    <row r="40" spans="1:9" ht="14.25" thickBot="1" x14ac:dyDescent="0.3">
      <c r="A40" s="3"/>
      <c r="B40" s="3"/>
      <c r="C40" s="11"/>
      <c r="D40" s="11"/>
    </row>
    <row r="41" spans="1:9" ht="14.25" thickBot="1" x14ac:dyDescent="0.3">
      <c r="A41" s="12" t="s">
        <v>22</v>
      </c>
      <c r="B41" s="12">
        <f>SUM(B31:B40)</f>
        <v>0</v>
      </c>
      <c r="C41" s="111" t="s">
        <v>38</v>
      </c>
      <c r="D41" s="13"/>
    </row>
    <row r="42" spans="1:9" ht="15" thickBot="1" x14ac:dyDescent="0.35">
      <c r="A42" s="14"/>
      <c r="B42" s="14"/>
      <c r="C42" s="14"/>
      <c r="D42" s="14"/>
    </row>
    <row r="43" spans="1:9" ht="18.75" thickBot="1" x14ac:dyDescent="0.3">
      <c r="A43" s="6" t="s">
        <v>14</v>
      </c>
      <c r="B43" s="7">
        <v>4</v>
      </c>
      <c r="C43" s="17"/>
      <c r="D43" s="87"/>
    </row>
    <row r="44" spans="1:9" ht="27.75" thickBot="1" x14ac:dyDescent="0.3">
      <c r="A44" s="8" t="s">
        <v>3</v>
      </c>
      <c r="B44" s="18" t="s">
        <v>15</v>
      </c>
      <c r="C44" s="8" t="s">
        <v>7</v>
      </c>
      <c r="D44" s="8" t="s">
        <v>13</v>
      </c>
    </row>
    <row r="45" spans="1:9" x14ac:dyDescent="0.25">
      <c r="A45" s="5"/>
      <c r="B45" s="4"/>
      <c r="C45" s="9"/>
      <c r="D45" s="9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1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2"/>
      <c r="B53" s="2"/>
      <c r="C53" s="10"/>
      <c r="D53" s="10"/>
    </row>
    <row r="54" spans="1:4" ht="14.25" thickBot="1" x14ac:dyDescent="0.3">
      <c r="A54" s="3"/>
      <c r="B54" s="3"/>
      <c r="C54" s="11"/>
      <c r="D54" s="11"/>
    </row>
    <row r="55" spans="1:4" ht="14.25" thickBot="1" x14ac:dyDescent="0.3">
      <c r="A55" s="12" t="s">
        <v>22</v>
      </c>
      <c r="B55" s="12">
        <f>SUM(B45:B54)</f>
        <v>0</v>
      </c>
      <c r="C55" s="111" t="s">
        <v>38</v>
      </c>
      <c r="D55" s="13"/>
    </row>
    <row r="56" spans="1:4" ht="15" thickBot="1" x14ac:dyDescent="0.35">
      <c r="A56" s="14"/>
      <c r="B56" s="14"/>
      <c r="C56" s="14"/>
      <c r="D56" s="14"/>
    </row>
    <row r="57" spans="1:4" ht="18.75" thickBot="1" x14ac:dyDescent="0.3">
      <c r="A57" s="6" t="s">
        <v>14</v>
      </c>
      <c r="B57" s="7">
        <v>5</v>
      </c>
      <c r="C57" s="17"/>
      <c r="D57" s="87"/>
    </row>
    <row r="58" spans="1:4" ht="27.75" thickBot="1" x14ac:dyDescent="0.3">
      <c r="A58" s="8" t="s">
        <v>3</v>
      </c>
      <c r="B58" s="18" t="s">
        <v>15</v>
      </c>
      <c r="C58" s="8" t="s">
        <v>7</v>
      </c>
      <c r="D58" s="8" t="s">
        <v>13</v>
      </c>
    </row>
    <row r="59" spans="1:4" x14ac:dyDescent="0.25">
      <c r="A59" s="5"/>
      <c r="B59" s="4"/>
      <c r="C59" s="9"/>
      <c r="D59" s="9"/>
    </row>
    <row r="60" spans="1:4" x14ac:dyDescent="0.25">
      <c r="A60" s="1"/>
      <c r="B60" s="2"/>
      <c r="C60" s="10"/>
      <c r="D60" s="10"/>
    </row>
    <row r="61" spans="1:4" x14ac:dyDescent="0.25">
      <c r="A61" s="1"/>
      <c r="B61" s="2"/>
      <c r="C61" s="10"/>
      <c r="D61" s="10"/>
    </row>
    <row r="62" spans="1:4" x14ac:dyDescent="0.25">
      <c r="A62" s="1"/>
      <c r="B62" s="2"/>
      <c r="C62" s="10"/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2"/>
      <c r="B65" s="2"/>
      <c r="C65" s="10"/>
      <c r="D65" s="10"/>
    </row>
    <row r="66" spans="1:4" x14ac:dyDescent="0.25">
      <c r="A66" s="2"/>
      <c r="B66" s="2"/>
      <c r="C66" s="10"/>
      <c r="D66" s="10"/>
    </row>
    <row r="67" spans="1:4" x14ac:dyDescent="0.25">
      <c r="A67" s="2"/>
      <c r="B67" s="2"/>
      <c r="C67" s="10"/>
      <c r="D67" s="10"/>
    </row>
    <row r="68" spans="1:4" ht="14.25" thickBot="1" x14ac:dyDescent="0.3">
      <c r="A68" s="3"/>
      <c r="B68" s="3"/>
      <c r="C68" s="11"/>
      <c r="D68" s="11"/>
    </row>
    <row r="69" spans="1:4" ht="14.25" thickBot="1" x14ac:dyDescent="0.3">
      <c r="A69" s="12" t="s">
        <v>22</v>
      </c>
      <c r="B69" s="12">
        <f>SUM(B59:B68)</f>
        <v>0</v>
      </c>
      <c r="C69" s="111" t="s">
        <v>38</v>
      </c>
      <c r="D69" s="13"/>
    </row>
    <row r="70" spans="1:4" ht="15" thickBot="1" x14ac:dyDescent="0.35">
      <c r="A70" s="14"/>
      <c r="B70" s="14"/>
      <c r="C70" s="14"/>
      <c r="D70" s="14"/>
    </row>
    <row r="71" spans="1:4" ht="18.75" thickBot="1" x14ac:dyDescent="0.3">
      <c r="A71" s="6" t="s">
        <v>14</v>
      </c>
      <c r="B71" s="7">
        <v>6</v>
      </c>
      <c r="C71" s="17"/>
      <c r="D71" s="87"/>
    </row>
    <row r="72" spans="1:4" ht="27.75" thickBot="1" x14ac:dyDescent="0.3">
      <c r="A72" s="8" t="s">
        <v>3</v>
      </c>
      <c r="B72" s="18" t="s">
        <v>15</v>
      </c>
      <c r="C72" s="8" t="s">
        <v>7</v>
      </c>
      <c r="D72" s="8" t="s">
        <v>13</v>
      </c>
    </row>
    <row r="73" spans="1:4" x14ac:dyDescent="0.25">
      <c r="A73" s="5"/>
      <c r="B73" s="4"/>
      <c r="C73" s="9"/>
      <c r="D73" s="9"/>
    </row>
    <row r="74" spans="1:4" x14ac:dyDescent="0.25">
      <c r="A74" s="1"/>
      <c r="B74" s="2"/>
      <c r="C74" s="10"/>
      <c r="D74" s="10"/>
    </row>
    <row r="75" spans="1:4" x14ac:dyDescent="0.25">
      <c r="A75" s="1"/>
      <c r="B75" s="2"/>
      <c r="C75" s="10"/>
      <c r="D75" s="10"/>
    </row>
    <row r="76" spans="1:4" x14ac:dyDescent="0.25">
      <c r="A76" s="1"/>
      <c r="B76" s="2"/>
      <c r="C76" s="10"/>
      <c r="D76" s="10"/>
    </row>
    <row r="77" spans="1:4" x14ac:dyDescent="0.25">
      <c r="A77" s="1"/>
      <c r="B77" s="2"/>
      <c r="C77" s="10"/>
      <c r="D77" s="10"/>
    </row>
    <row r="78" spans="1:4" x14ac:dyDescent="0.25">
      <c r="A78" s="1"/>
      <c r="B78" s="2"/>
      <c r="C78" s="10"/>
      <c r="D78" s="10"/>
    </row>
    <row r="79" spans="1:4" x14ac:dyDescent="0.25">
      <c r="A79" s="2"/>
      <c r="B79" s="2"/>
      <c r="C79" s="10"/>
      <c r="D79" s="10"/>
    </row>
    <row r="80" spans="1:4" x14ac:dyDescent="0.25">
      <c r="A80" s="2"/>
      <c r="B80" s="2"/>
      <c r="C80" s="10"/>
      <c r="D80" s="10"/>
    </row>
    <row r="81" spans="1:4" x14ac:dyDescent="0.25">
      <c r="A81" s="2"/>
      <c r="B81" s="2"/>
      <c r="C81" s="10"/>
      <c r="D81" s="10"/>
    </row>
    <row r="82" spans="1:4" ht="14.25" thickBot="1" x14ac:dyDescent="0.3">
      <c r="A82" s="3"/>
      <c r="B82" s="3"/>
      <c r="C82" s="11"/>
      <c r="D82" s="11"/>
    </row>
    <row r="83" spans="1:4" ht="14.25" thickBot="1" x14ac:dyDescent="0.3">
      <c r="A83" s="12" t="s">
        <v>22</v>
      </c>
      <c r="B83" s="12">
        <f>SUM(B73:B82)</f>
        <v>0</v>
      </c>
      <c r="C83" s="111" t="s">
        <v>38</v>
      </c>
      <c r="D83" s="13"/>
    </row>
    <row r="84" spans="1:4" ht="15" thickBot="1" x14ac:dyDescent="0.35">
      <c r="A84" s="14"/>
      <c r="B84" s="14"/>
      <c r="C84" s="14"/>
      <c r="D84" s="14"/>
    </row>
    <row r="85" spans="1:4" ht="18.75" thickBot="1" x14ac:dyDescent="0.3">
      <c r="A85" s="6" t="s">
        <v>14</v>
      </c>
      <c r="B85" s="7">
        <v>7</v>
      </c>
      <c r="C85" s="17"/>
      <c r="D85" s="87"/>
    </row>
    <row r="86" spans="1:4" ht="27.75" thickBot="1" x14ac:dyDescent="0.3">
      <c r="A86" s="8" t="s">
        <v>3</v>
      </c>
      <c r="B86" s="18" t="s">
        <v>15</v>
      </c>
      <c r="C86" s="8" t="s">
        <v>7</v>
      </c>
      <c r="D86" s="8" t="s">
        <v>13</v>
      </c>
    </row>
    <row r="87" spans="1:4" x14ac:dyDescent="0.25">
      <c r="A87" s="5"/>
      <c r="B87" s="4"/>
      <c r="C87" s="9"/>
      <c r="D87" s="9"/>
    </row>
    <row r="88" spans="1:4" x14ac:dyDescent="0.25">
      <c r="A88" s="1"/>
      <c r="B88" s="2"/>
      <c r="C88" s="10"/>
      <c r="D88" s="10"/>
    </row>
    <row r="89" spans="1:4" x14ac:dyDescent="0.25">
      <c r="A89" s="1"/>
      <c r="B89" s="2"/>
      <c r="C89" s="10"/>
      <c r="D89" s="10"/>
    </row>
    <row r="90" spans="1:4" x14ac:dyDescent="0.25">
      <c r="A90" s="1"/>
      <c r="B90" s="2"/>
      <c r="C90" s="10"/>
      <c r="D90" s="10"/>
    </row>
    <row r="91" spans="1:4" x14ac:dyDescent="0.25">
      <c r="A91" s="1"/>
      <c r="B91" s="2"/>
      <c r="C91" s="10"/>
      <c r="D91" s="10"/>
    </row>
    <row r="92" spans="1:4" x14ac:dyDescent="0.25">
      <c r="A92" s="1"/>
      <c r="B92" s="2"/>
      <c r="C92" s="10"/>
      <c r="D92" s="10"/>
    </row>
    <row r="93" spans="1:4" x14ac:dyDescent="0.25">
      <c r="A93" s="2"/>
      <c r="B93" s="2"/>
      <c r="C93" s="10"/>
      <c r="D93" s="10"/>
    </row>
    <row r="94" spans="1:4" x14ac:dyDescent="0.25">
      <c r="A94" s="2"/>
      <c r="B94" s="2"/>
      <c r="C94" s="10"/>
      <c r="D94" s="10"/>
    </row>
    <row r="95" spans="1:4" x14ac:dyDescent="0.25">
      <c r="A95" s="2"/>
      <c r="B95" s="2"/>
      <c r="C95" s="10"/>
      <c r="D95" s="10"/>
    </row>
    <row r="96" spans="1:4" ht="14.25" thickBot="1" x14ac:dyDescent="0.3">
      <c r="A96" s="3"/>
      <c r="B96" s="3"/>
      <c r="C96" s="11"/>
      <c r="D96" s="11"/>
    </row>
    <row r="97" spans="1:4" ht="14.25" thickBot="1" x14ac:dyDescent="0.3">
      <c r="A97" s="12" t="s">
        <v>22</v>
      </c>
      <c r="B97" s="12">
        <f>SUM(B87:B96)</f>
        <v>0</v>
      </c>
      <c r="C97" s="111" t="s">
        <v>38</v>
      </c>
      <c r="D97" s="13"/>
    </row>
    <row r="98" spans="1:4" ht="15" thickBot="1" x14ac:dyDescent="0.35">
      <c r="A98" s="14"/>
      <c r="B98" s="14"/>
      <c r="C98" s="14"/>
      <c r="D98" s="14"/>
    </row>
    <row r="99" spans="1:4" ht="18.75" thickBot="1" x14ac:dyDescent="0.3">
      <c r="A99" s="6" t="s">
        <v>14</v>
      </c>
      <c r="B99" s="7">
        <v>8</v>
      </c>
      <c r="C99" s="17"/>
      <c r="D99" s="87"/>
    </row>
    <row r="100" spans="1:4" ht="27.75" thickBot="1" x14ac:dyDescent="0.3">
      <c r="A100" s="8" t="s">
        <v>3</v>
      </c>
      <c r="B100" s="18" t="s">
        <v>15</v>
      </c>
      <c r="C100" s="8" t="s">
        <v>7</v>
      </c>
      <c r="D100" s="8" t="s">
        <v>13</v>
      </c>
    </row>
    <row r="101" spans="1:4" x14ac:dyDescent="0.25">
      <c r="A101" s="5"/>
      <c r="B101" s="4"/>
      <c r="C101" s="9"/>
      <c r="D101" s="9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ht="14.25" thickBot="1" x14ac:dyDescent="0.3">
      <c r="A110" s="3"/>
      <c r="B110" s="3"/>
      <c r="C110" s="11"/>
      <c r="D110" s="11"/>
    </row>
    <row r="111" spans="1:4" ht="14.25" thickBot="1" x14ac:dyDescent="0.3">
      <c r="A111" s="12" t="s">
        <v>22</v>
      </c>
      <c r="B111" s="12">
        <f>SUM(B101:B110)</f>
        <v>0</v>
      </c>
      <c r="C111" s="111" t="s">
        <v>38</v>
      </c>
      <c r="D111" s="13"/>
    </row>
    <row r="112" spans="1:4" ht="14.25" x14ac:dyDescent="0.3">
      <c r="A112" s="14"/>
      <c r="B112" s="14"/>
      <c r="C112" s="14"/>
      <c r="D112" s="14"/>
    </row>
    <row r="113" spans="1:1" x14ac:dyDescent="0.25">
      <c r="A113" s="112" t="s">
        <v>39</v>
      </c>
    </row>
  </sheetData>
  <sheetProtection sheet="1" objects="1" scenarios="1" insertRows="0" selectLockedCells="1"/>
  <dataValidations count="4">
    <dataValidation type="list" allowBlank="1" showInputMessage="1" showErrorMessage="1" sqref="A3:A12 A17:A26 A31:A40 A45:A54 A59:A68 A73:A82 A87:A96 A101:A110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3 B27 B41 B55 B69 B83 B97 B111">
      <formula1>0</formula1>
      <formula2>NbPerWeek * NbQuartPer</formula2>
    </dataValidation>
    <dataValidation type="whole" errorStyle="warning" operator="greaterThan" allowBlank="1" showInputMessage="1" showErrorMessage="1" errorTitle="Durée en 1/3 de période" error="Le nombre doit être de type entier" sqref="B3:B12 F22:F29 B17:B26 B31:B40 B45:B54 B59:B68 B73:B82 B87:B96 B101:B110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0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985" r:id="rId4" name="btnImportPlanific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1985" r:id="rId4" name="btnImportPlanification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8"/>
  <dimension ref="A1:I39"/>
  <sheetViews>
    <sheetView workbookViewId="0">
      <selection activeCell="C28" sqref="C28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/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/>
      <c r="B3" s="4"/>
      <c r="C3" s="9"/>
      <c r="D3" s="9"/>
    </row>
    <row r="4" spans="1:4" s="53" customFormat="1" x14ac:dyDescent="0.25">
      <c r="A4" s="1"/>
      <c r="B4" s="2"/>
      <c r="C4" s="10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0</v>
      </c>
      <c r="C18" s="49"/>
      <c r="D18" s="49"/>
    </row>
    <row r="19" spans="1:9" ht="14.25" x14ac:dyDescent="0.3">
      <c r="A19" s="50"/>
      <c r="B19" s="50"/>
      <c r="C19" s="50"/>
      <c r="D19" s="50"/>
    </row>
    <row r="23" spans="1:9" x14ac:dyDescent="0.25">
      <c r="A23" s="20"/>
      <c r="B23" s="20"/>
      <c r="C23" s="20"/>
      <c r="D23" s="20"/>
    </row>
    <row r="24" spans="1:9" x14ac:dyDescent="0.25">
      <c r="A24" s="20"/>
      <c r="B24" s="20"/>
      <c r="C24" s="20"/>
      <c r="D24" s="20"/>
      <c r="E24" s="20"/>
      <c r="F24" s="20"/>
      <c r="G24" s="20"/>
      <c r="H24" s="20"/>
      <c r="I24" s="20"/>
    </row>
    <row r="25" spans="1:9" ht="12.75" customHeight="1" x14ac:dyDescent="0.25">
      <c r="A25" s="31"/>
      <c r="B25" s="32"/>
      <c r="C25" s="33"/>
      <c r="D25" s="34"/>
      <c r="E25" s="20"/>
      <c r="F25" s="32"/>
      <c r="G25" s="33"/>
      <c r="H25" s="34"/>
      <c r="I25" s="20"/>
    </row>
    <row r="26" spans="1:9" ht="15" x14ac:dyDescent="0.25">
      <c r="A26" s="31"/>
      <c r="B26" s="35"/>
      <c r="C26" s="31"/>
      <c r="D26" s="31"/>
      <c r="E26" s="20"/>
      <c r="F26" s="35"/>
      <c r="G26" s="31"/>
      <c r="H26" s="31"/>
      <c r="I26" s="20"/>
    </row>
    <row r="27" spans="1:9" x14ac:dyDescent="0.25">
      <c r="A27" s="36"/>
      <c r="B27" s="37"/>
      <c r="C27" s="38"/>
      <c r="D27" s="38"/>
      <c r="E27" s="20"/>
      <c r="F27" s="37"/>
      <c r="G27" s="38"/>
      <c r="H27" s="38"/>
      <c r="I27" s="20"/>
    </row>
    <row r="28" spans="1:9" x14ac:dyDescent="0.25">
      <c r="A28" s="36"/>
      <c r="B28" s="37"/>
      <c r="C28" s="38"/>
      <c r="D28" s="38"/>
      <c r="E28" s="20"/>
      <c r="F28" s="37"/>
      <c r="G28" s="38"/>
      <c r="H28" s="38"/>
      <c r="I28" s="20"/>
    </row>
    <row r="29" spans="1:9" x14ac:dyDescent="0.25">
      <c r="A29" s="36"/>
      <c r="B29" s="37"/>
      <c r="C29" s="38"/>
      <c r="D29" s="38"/>
      <c r="E29" s="20"/>
      <c r="F29" s="37"/>
      <c r="G29" s="38"/>
      <c r="H29" s="38"/>
      <c r="I29" s="20"/>
    </row>
    <row r="30" spans="1:9" x14ac:dyDescent="0.25">
      <c r="A30" s="36"/>
      <c r="B30" s="37"/>
      <c r="C30" s="38"/>
      <c r="D30" s="38"/>
      <c r="E30" s="20"/>
      <c r="F30" s="37"/>
      <c r="G30" s="38"/>
      <c r="H30" s="38"/>
      <c r="I30" s="20"/>
    </row>
    <row r="31" spans="1:9" x14ac:dyDescent="0.25">
      <c r="A31" s="37"/>
      <c r="B31" s="37"/>
      <c r="C31" s="38"/>
      <c r="D31" s="38"/>
      <c r="E31" s="20"/>
      <c r="F31" s="37"/>
      <c r="G31" s="38"/>
      <c r="H31" s="38"/>
      <c r="I31" s="20"/>
    </row>
    <row r="32" spans="1:9" x14ac:dyDescent="0.25">
      <c r="A32" s="37"/>
      <c r="B32" s="37"/>
      <c r="C32" s="38"/>
      <c r="D32" s="38"/>
      <c r="E32" s="20"/>
      <c r="F32" s="37"/>
      <c r="G32" s="38"/>
      <c r="H32" s="38"/>
      <c r="I32" s="20"/>
    </row>
    <row r="33" spans="1:9" x14ac:dyDescent="0.25">
      <c r="A33" s="37"/>
      <c r="B33" s="37"/>
      <c r="C33" s="38"/>
      <c r="D33" s="38"/>
      <c r="E33" s="20"/>
      <c r="F33" s="37"/>
      <c r="G33" s="38"/>
      <c r="H33" s="38"/>
      <c r="I33" s="20"/>
    </row>
    <row r="34" spans="1:9" x14ac:dyDescent="0.25">
      <c r="A34" s="37"/>
      <c r="B34" s="37"/>
      <c r="C34" s="38"/>
      <c r="D34" s="38"/>
      <c r="E34" s="20"/>
      <c r="F34" s="37"/>
      <c r="G34" s="38"/>
      <c r="H34" s="38"/>
      <c r="I34" s="20"/>
    </row>
    <row r="35" spans="1:9" x14ac:dyDescent="0.25">
      <c r="A35" s="39"/>
      <c r="B35" s="39"/>
      <c r="C35" s="40"/>
      <c r="D35" s="40"/>
      <c r="E35" s="20"/>
      <c r="F35" s="39"/>
      <c r="G35" s="40"/>
      <c r="H35" s="40"/>
      <c r="I35" s="20"/>
    </row>
    <row r="36" spans="1:9" ht="14.25" x14ac:dyDescent="0.3">
      <c r="A36" s="41"/>
      <c r="B36" s="41"/>
      <c r="C36" s="41"/>
      <c r="D36" s="41"/>
      <c r="E36" s="20"/>
      <c r="F36" s="41"/>
      <c r="G36" s="41"/>
      <c r="H36" s="41"/>
      <c r="I36" s="20"/>
    </row>
    <row r="37" spans="1:9" x14ac:dyDescent="0.25">
      <c r="A37" s="20"/>
      <c r="B37" s="20"/>
      <c r="C37" s="20"/>
      <c r="D37" s="20"/>
      <c r="E37" s="20"/>
      <c r="F37" s="20"/>
      <c r="G37" s="20"/>
      <c r="H37" s="20"/>
      <c r="I37" s="20"/>
    </row>
    <row r="38" spans="1:9" x14ac:dyDescent="0.25">
      <c r="E38" s="20"/>
      <c r="F38" s="20"/>
      <c r="G38" s="20"/>
      <c r="H38" s="20"/>
      <c r="I38" s="20"/>
    </row>
    <row r="39" spans="1:9" x14ac:dyDescent="0.25">
      <c r="E39" s="20"/>
      <c r="F39" s="20"/>
      <c r="G39" s="20"/>
      <c r="H39" s="20"/>
      <c r="I39" s="20"/>
    </row>
  </sheetData>
  <dataValidations count="5">
    <dataValidation type="list" allowBlank="1" showInputMessage="1" showErrorMessage="1" sqref="A3:A17">
      <formula1>lstTasks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">
      <formula1>0</formula1>
      <formula2>NbPerWeek * NbQuartPer</formula2>
    </dataValidation>
    <dataValidation type="list" allowBlank="1" showInputMessage="1" showErrorMessage="1" sqref="A27:A34">
      <formula1>ListeTaches</formula1>
    </dataValidation>
    <dataValidation type="whole" errorStyle="warning" operator="greaterThan" allowBlank="1" showInputMessage="1" showErrorMessage="1" errorTitle="Durée en 1/3 de période" error="Le nombre doit être de type entier" sqref="F27:F34 B27:B34 B3:B17">
      <formula1>0</formula1>
    </dataValidation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 B35">
      <formula1>0</formula1>
      <formula2>DureePeriode-1</formula2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8913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38913" r:id="rId4" name="btnImportRealisation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9"/>
  <dimension ref="A1:I153"/>
  <sheetViews>
    <sheetView tabSelected="1" topLeftCell="A109" workbookViewId="0">
      <selection activeCell="C114" sqref="C114"/>
    </sheetView>
  </sheetViews>
  <sheetFormatPr baseColWidth="10" defaultColWidth="11.42578125" defaultRowHeight="13.5" x14ac:dyDescent="0.25"/>
  <cols>
    <col min="1" max="1" width="21.42578125" style="29" customWidth="1"/>
    <col min="2" max="2" width="8.5703125" style="29" customWidth="1"/>
    <col min="3" max="3" width="87" style="29" customWidth="1"/>
    <col min="4" max="4" width="44.140625" style="29" customWidth="1"/>
    <col min="5" max="16384" width="11.42578125" style="29"/>
  </cols>
  <sheetData>
    <row r="1" spans="1:4" ht="18.75" thickBot="1" x14ac:dyDescent="0.3">
      <c r="A1" s="43" t="s">
        <v>14</v>
      </c>
      <c r="B1" s="44">
        <v>1</v>
      </c>
      <c r="C1" s="45" t="s">
        <v>23</v>
      </c>
      <c r="D1" s="54">
        <f>Donnees!$C$9</f>
        <v>45602</v>
      </c>
    </row>
    <row r="2" spans="1:4" ht="27.75" thickBot="1" x14ac:dyDescent="0.3">
      <c r="A2" s="46" t="s">
        <v>3</v>
      </c>
      <c r="B2" s="47" t="s">
        <v>15</v>
      </c>
      <c r="C2" s="46" t="s">
        <v>7</v>
      </c>
      <c r="D2" s="46" t="s">
        <v>13</v>
      </c>
    </row>
    <row r="3" spans="1:4" s="53" customFormat="1" x14ac:dyDescent="0.25">
      <c r="A3" s="5" t="s">
        <v>28</v>
      </c>
      <c r="B3" s="4">
        <v>12</v>
      </c>
      <c r="C3" s="114" t="s">
        <v>40</v>
      </c>
      <c r="D3" s="9"/>
    </row>
    <row r="4" spans="1:4" s="53" customFormat="1" x14ac:dyDescent="0.25">
      <c r="A4" s="1"/>
      <c r="B4" s="2"/>
      <c r="C4" s="115"/>
      <c r="D4" s="10"/>
    </row>
    <row r="5" spans="1:4" s="53" customFormat="1" x14ac:dyDescent="0.25">
      <c r="A5" s="1"/>
      <c r="B5" s="2"/>
      <c r="C5" s="10"/>
      <c r="D5" s="10"/>
    </row>
    <row r="6" spans="1:4" s="53" customFormat="1" x14ac:dyDescent="0.25">
      <c r="A6" s="1"/>
      <c r="B6" s="2"/>
      <c r="C6" s="10"/>
      <c r="D6" s="10"/>
    </row>
    <row r="7" spans="1:4" s="53" customFormat="1" x14ac:dyDescent="0.25">
      <c r="A7" s="1"/>
      <c r="B7" s="2"/>
      <c r="C7" s="10"/>
      <c r="D7" s="10"/>
    </row>
    <row r="8" spans="1:4" s="53" customFormat="1" x14ac:dyDescent="0.25">
      <c r="A8" s="1"/>
      <c r="B8" s="2"/>
      <c r="C8" s="10"/>
      <c r="D8" s="10"/>
    </row>
    <row r="9" spans="1:4" s="53" customFormat="1" x14ac:dyDescent="0.25">
      <c r="A9" s="1"/>
      <c r="B9" s="2"/>
      <c r="C9" s="10"/>
      <c r="D9" s="10"/>
    </row>
    <row r="10" spans="1:4" s="53" customFormat="1" x14ac:dyDescent="0.25">
      <c r="A10" s="1"/>
      <c r="B10" s="2"/>
      <c r="C10" s="10"/>
      <c r="D10" s="10"/>
    </row>
    <row r="11" spans="1:4" s="53" customFormat="1" x14ac:dyDescent="0.25">
      <c r="A11" s="1"/>
      <c r="B11" s="2"/>
      <c r="C11" s="10"/>
      <c r="D11" s="10"/>
    </row>
    <row r="12" spans="1:4" s="53" customFormat="1" x14ac:dyDescent="0.25">
      <c r="A12" s="2"/>
      <c r="B12" s="2"/>
      <c r="C12" s="10"/>
      <c r="D12" s="10"/>
    </row>
    <row r="13" spans="1:4" s="53" customFormat="1" x14ac:dyDescent="0.25">
      <c r="A13" s="2"/>
      <c r="B13" s="2"/>
      <c r="C13" s="10"/>
      <c r="D13" s="10"/>
    </row>
    <row r="14" spans="1:4" s="53" customFormat="1" x14ac:dyDescent="0.25">
      <c r="A14" s="2"/>
      <c r="B14" s="2"/>
      <c r="C14" s="10"/>
      <c r="D14" s="10"/>
    </row>
    <row r="15" spans="1:4" s="53" customFormat="1" x14ac:dyDescent="0.25">
      <c r="A15" s="51"/>
      <c r="B15" s="51"/>
      <c r="C15" s="52"/>
      <c r="D15" s="52"/>
    </row>
    <row r="16" spans="1:4" s="53" customFormat="1" x14ac:dyDescent="0.25">
      <c r="A16" s="51"/>
      <c r="B16" s="51"/>
      <c r="C16" s="52"/>
      <c r="D16" s="52"/>
    </row>
    <row r="17" spans="1:9" s="53" customFormat="1" ht="14.25" thickBot="1" x14ac:dyDescent="0.3">
      <c r="A17" s="3"/>
      <c r="B17" s="3"/>
      <c r="C17" s="11"/>
      <c r="D17" s="11"/>
    </row>
    <row r="18" spans="1:9" ht="14.25" thickBot="1" x14ac:dyDescent="0.3">
      <c r="A18" s="48" t="s">
        <v>22</v>
      </c>
      <c r="B18" s="48">
        <f>SUM(B3:B17)</f>
        <v>12</v>
      </c>
      <c r="C18" s="113" t="s">
        <v>38</v>
      </c>
      <c r="D18" s="49"/>
    </row>
    <row r="19" spans="1:9" ht="15" thickBot="1" x14ac:dyDescent="0.35">
      <c r="A19" s="50"/>
      <c r="B19" s="50"/>
      <c r="C19" s="50"/>
      <c r="D19" s="50"/>
    </row>
    <row r="20" spans="1:9" ht="18.75" thickBot="1" x14ac:dyDescent="0.3">
      <c r="A20" s="43" t="s">
        <v>14</v>
      </c>
      <c r="B20" s="44">
        <v>2</v>
      </c>
      <c r="C20" s="45" t="s">
        <v>23</v>
      </c>
      <c r="D20" s="54">
        <f>$D$1+7</f>
        <v>45609</v>
      </c>
    </row>
    <row r="21" spans="1:9" ht="27.75" thickBot="1" x14ac:dyDescent="0.3">
      <c r="A21" s="46" t="s">
        <v>3</v>
      </c>
      <c r="B21" s="47" t="s">
        <v>15</v>
      </c>
      <c r="C21" s="46" t="s">
        <v>7</v>
      </c>
      <c r="D21" s="46" t="s">
        <v>13</v>
      </c>
    </row>
    <row r="22" spans="1:9" x14ac:dyDescent="0.25">
      <c r="A22" s="5" t="s">
        <v>28</v>
      </c>
      <c r="B22" s="4">
        <v>6</v>
      </c>
      <c r="C22" s="114" t="s">
        <v>41</v>
      </c>
      <c r="D22" s="9"/>
    </row>
    <row r="23" spans="1:9" x14ac:dyDescent="0.25">
      <c r="A23" s="1" t="s">
        <v>28</v>
      </c>
      <c r="B23" s="2">
        <v>2</v>
      </c>
      <c r="C23" s="115" t="s">
        <v>42</v>
      </c>
      <c r="D23" s="10"/>
    </row>
    <row r="24" spans="1:9" x14ac:dyDescent="0.25">
      <c r="A24" s="1" t="s">
        <v>28</v>
      </c>
      <c r="B24" s="2">
        <v>2</v>
      </c>
      <c r="C24" s="115" t="s">
        <v>43</v>
      </c>
      <c r="D24" s="10"/>
      <c r="E24" s="20"/>
      <c r="F24" s="20"/>
      <c r="G24" s="20"/>
      <c r="H24" s="20"/>
      <c r="I24" s="20"/>
    </row>
    <row r="25" spans="1:9" ht="12.75" customHeight="1" x14ac:dyDescent="0.25">
      <c r="A25" s="1" t="s">
        <v>28</v>
      </c>
      <c r="B25" s="2">
        <v>2</v>
      </c>
      <c r="C25" s="115" t="s">
        <v>44</v>
      </c>
      <c r="D25" s="10"/>
      <c r="E25" s="20"/>
      <c r="F25" s="32"/>
      <c r="G25" s="33"/>
      <c r="H25" s="34"/>
      <c r="I25" s="20"/>
    </row>
    <row r="26" spans="1:9" ht="15" x14ac:dyDescent="0.25">
      <c r="A26" s="1"/>
      <c r="B26" s="2"/>
      <c r="C26" s="10"/>
      <c r="D26" s="10"/>
      <c r="E26" s="20"/>
      <c r="F26" s="35"/>
      <c r="G26" s="31"/>
      <c r="H26" s="31"/>
      <c r="I26" s="20"/>
    </row>
    <row r="27" spans="1:9" x14ac:dyDescent="0.25">
      <c r="A27" s="1"/>
      <c r="B27" s="2"/>
      <c r="C27" s="10"/>
      <c r="D27" s="10"/>
      <c r="E27" s="20"/>
      <c r="F27" s="37"/>
      <c r="G27" s="38"/>
      <c r="H27" s="38"/>
      <c r="I27" s="20"/>
    </row>
    <row r="28" spans="1:9" x14ac:dyDescent="0.25">
      <c r="A28" s="1"/>
      <c r="B28" s="2"/>
      <c r="C28" s="10"/>
      <c r="D28" s="10"/>
      <c r="E28" s="20"/>
      <c r="F28" s="37"/>
      <c r="G28" s="38"/>
      <c r="H28" s="38"/>
      <c r="I28" s="20"/>
    </row>
    <row r="29" spans="1:9" x14ac:dyDescent="0.25">
      <c r="A29" s="1"/>
      <c r="B29" s="2"/>
      <c r="C29" s="10"/>
      <c r="D29" s="10"/>
      <c r="E29" s="20"/>
      <c r="F29" s="37"/>
      <c r="G29" s="38"/>
      <c r="H29" s="38"/>
      <c r="I29" s="20"/>
    </row>
    <row r="30" spans="1:9" x14ac:dyDescent="0.25">
      <c r="A30" s="1"/>
      <c r="B30" s="2"/>
      <c r="C30" s="10"/>
      <c r="D30" s="10"/>
      <c r="E30" s="20"/>
      <c r="F30" s="37"/>
      <c r="G30" s="38"/>
      <c r="H30" s="38"/>
      <c r="I30" s="20"/>
    </row>
    <row r="31" spans="1:9" x14ac:dyDescent="0.25">
      <c r="A31" s="2"/>
      <c r="B31" s="2"/>
      <c r="C31" s="10"/>
      <c r="D31" s="10"/>
      <c r="E31" s="20"/>
      <c r="F31" s="37"/>
      <c r="G31" s="38"/>
      <c r="H31" s="38"/>
      <c r="I31" s="20"/>
    </row>
    <row r="32" spans="1:9" x14ac:dyDescent="0.25">
      <c r="A32" s="2"/>
      <c r="B32" s="2"/>
      <c r="C32" s="10"/>
      <c r="D32" s="10"/>
      <c r="E32" s="20"/>
      <c r="F32" s="37"/>
      <c r="G32" s="38"/>
      <c r="H32" s="38"/>
      <c r="I32" s="20"/>
    </row>
    <row r="33" spans="1:9" x14ac:dyDescent="0.25">
      <c r="A33" s="2"/>
      <c r="B33" s="2"/>
      <c r="C33" s="10"/>
      <c r="D33" s="10"/>
      <c r="E33" s="20"/>
      <c r="F33" s="37"/>
      <c r="G33" s="38"/>
      <c r="H33" s="38"/>
      <c r="I33" s="20"/>
    </row>
    <row r="34" spans="1:9" x14ac:dyDescent="0.25">
      <c r="A34" s="51"/>
      <c r="B34" s="51"/>
      <c r="C34" s="52"/>
      <c r="D34" s="52"/>
      <c r="E34" s="20"/>
      <c r="F34" s="37"/>
      <c r="G34" s="38"/>
      <c r="H34" s="38"/>
      <c r="I34" s="20"/>
    </row>
    <row r="35" spans="1:9" x14ac:dyDescent="0.25">
      <c r="A35" s="51"/>
      <c r="B35" s="51"/>
      <c r="C35" s="52"/>
      <c r="D35" s="52"/>
      <c r="E35" s="20"/>
      <c r="F35" s="39"/>
      <c r="G35" s="40"/>
      <c r="H35" s="40"/>
      <c r="I35" s="20"/>
    </row>
    <row r="36" spans="1:9" ht="15" thickBot="1" x14ac:dyDescent="0.35">
      <c r="A36" s="3"/>
      <c r="B36" s="3"/>
      <c r="C36" s="11"/>
      <c r="D36" s="11"/>
      <c r="E36" s="20"/>
      <c r="F36" s="41"/>
      <c r="G36" s="41"/>
      <c r="H36" s="41"/>
      <c r="I36" s="20"/>
    </row>
    <row r="37" spans="1:9" ht="14.25" thickBot="1" x14ac:dyDescent="0.3">
      <c r="A37" s="48" t="s">
        <v>22</v>
      </c>
      <c r="B37" s="48">
        <f>SUM(B22:B36)</f>
        <v>12</v>
      </c>
      <c r="C37" s="113" t="s">
        <v>38</v>
      </c>
      <c r="D37" s="49"/>
      <c r="E37" s="20"/>
      <c r="F37" s="20"/>
      <c r="G37" s="20"/>
      <c r="H37" s="20"/>
      <c r="I37" s="20"/>
    </row>
    <row r="38" spans="1:9" ht="15" thickBot="1" x14ac:dyDescent="0.35">
      <c r="A38" s="50"/>
      <c r="B38" s="50"/>
      <c r="C38" s="50"/>
      <c r="D38" s="50"/>
      <c r="E38" s="20"/>
      <c r="F38" s="20"/>
      <c r="G38" s="20"/>
      <c r="H38" s="20"/>
      <c r="I38" s="20"/>
    </row>
    <row r="39" spans="1:9" ht="18.75" thickBot="1" x14ac:dyDescent="0.3">
      <c r="A39" s="43" t="s">
        <v>14</v>
      </c>
      <c r="B39" s="44">
        <v>3</v>
      </c>
      <c r="C39" s="45" t="s">
        <v>23</v>
      </c>
      <c r="D39" s="54">
        <f>$D$20+7</f>
        <v>45616</v>
      </c>
      <c r="E39" s="20"/>
      <c r="F39" s="20"/>
      <c r="G39" s="20"/>
      <c r="H39" s="20"/>
      <c r="I39" s="20"/>
    </row>
    <row r="40" spans="1:9" ht="27.75" thickBot="1" x14ac:dyDescent="0.3">
      <c r="A40" s="46" t="s">
        <v>3</v>
      </c>
      <c r="B40" s="47" t="s">
        <v>15</v>
      </c>
      <c r="C40" s="46" t="s">
        <v>7</v>
      </c>
      <c r="D40" s="46" t="s">
        <v>13</v>
      </c>
    </row>
    <row r="41" spans="1:9" x14ac:dyDescent="0.25">
      <c r="A41" s="5" t="s">
        <v>28</v>
      </c>
      <c r="B41" s="4">
        <v>6</v>
      </c>
      <c r="C41" s="114" t="s">
        <v>45</v>
      </c>
      <c r="D41" s="9"/>
    </row>
    <row r="42" spans="1:9" x14ac:dyDescent="0.25">
      <c r="A42" s="1" t="s">
        <v>28</v>
      </c>
      <c r="B42" s="2">
        <v>4</v>
      </c>
      <c r="C42" s="115" t="s">
        <v>46</v>
      </c>
      <c r="D42" s="10"/>
    </row>
    <row r="43" spans="1:9" x14ac:dyDescent="0.25">
      <c r="A43" s="1" t="s">
        <v>29</v>
      </c>
      <c r="B43" s="2">
        <v>2</v>
      </c>
      <c r="C43" s="115" t="s">
        <v>47</v>
      </c>
      <c r="D43" s="10"/>
    </row>
    <row r="44" spans="1:9" x14ac:dyDescent="0.25">
      <c r="A44" s="1"/>
      <c r="B44" s="2"/>
      <c r="C44" s="10"/>
      <c r="D44" s="10"/>
    </row>
    <row r="45" spans="1:9" x14ac:dyDescent="0.25">
      <c r="A45" s="1"/>
      <c r="B45" s="2"/>
      <c r="C45" s="10"/>
      <c r="D45" s="10"/>
    </row>
    <row r="46" spans="1:9" x14ac:dyDescent="0.25">
      <c r="A46" s="1"/>
      <c r="B46" s="2"/>
      <c r="C46" s="10"/>
      <c r="D46" s="10"/>
    </row>
    <row r="47" spans="1:9" x14ac:dyDescent="0.25">
      <c r="A47" s="1"/>
      <c r="B47" s="2"/>
      <c r="C47" s="10"/>
      <c r="D47" s="10"/>
    </row>
    <row r="48" spans="1:9" x14ac:dyDescent="0.25">
      <c r="A48" s="1"/>
      <c r="B48" s="2"/>
      <c r="C48" s="10"/>
      <c r="D48" s="10"/>
    </row>
    <row r="49" spans="1:4" x14ac:dyDescent="0.25">
      <c r="A49" s="1"/>
      <c r="B49" s="2"/>
      <c r="C49" s="10"/>
      <c r="D49" s="10"/>
    </row>
    <row r="50" spans="1:4" x14ac:dyDescent="0.25">
      <c r="A50" s="2"/>
      <c r="B50" s="2"/>
      <c r="C50" s="10"/>
      <c r="D50" s="10"/>
    </row>
    <row r="51" spans="1:4" x14ac:dyDescent="0.25">
      <c r="A51" s="2"/>
      <c r="B51" s="2"/>
      <c r="C51" s="10"/>
      <c r="D51" s="10"/>
    </row>
    <row r="52" spans="1:4" x14ac:dyDescent="0.25">
      <c r="A52" s="2"/>
      <c r="B52" s="2"/>
      <c r="C52" s="10"/>
      <c r="D52" s="10"/>
    </row>
    <row r="53" spans="1:4" x14ac:dyDescent="0.25">
      <c r="A53" s="51"/>
      <c r="B53" s="51"/>
      <c r="C53" s="52"/>
      <c r="D53" s="52"/>
    </row>
    <row r="54" spans="1:4" x14ac:dyDescent="0.25">
      <c r="A54" s="51"/>
      <c r="B54" s="51"/>
      <c r="C54" s="52"/>
      <c r="D54" s="52"/>
    </row>
    <row r="55" spans="1:4" ht="14.25" thickBot="1" x14ac:dyDescent="0.3">
      <c r="A55" s="3"/>
      <c r="B55" s="3"/>
      <c r="C55" s="11"/>
      <c r="D55" s="11"/>
    </row>
    <row r="56" spans="1:4" ht="14.25" thickBot="1" x14ac:dyDescent="0.3">
      <c r="A56" s="48" t="s">
        <v>22</v>
      </c>
      <c r="B56" s="48">
        <f>SUM(B41:B55)</f>
        <v>12</v>
      </c>
      <c r="C56" s="113" t="s">
        <v>38</v>
      </c>
      <c r="D56" s="49"/>
    </row>
    <row r="57" spans="1:4" ht="15" thickBot="1" x14ac:dyDescent="0.35">
      <c r="A57" s="50"/>
      <c r="B57" s="50"/>
      <c r="C57" s="50"/>
      <c r="D57" s="50"/>
    </row>
    <row r="58" spans="1:4" ht="18.75" thickBot="1" x14ac:dyDescent="0.3">
      <c r="A58" s="43" t="s">
        <v>14</v>
      </c>
      <c r="B58" s="44">
        <v>4</v>
      </c>
      <c r="C58" s="45" t="s">
        <v>23</v>
      </c>
      <c r="D58" s="54">
        <f>$D$39+7</f>
        <v>45623</v>
      </c>
    </row>
    <row r="59" spans="1:4" ht="27.75" thickBot="1" x14ac:dyDescent="0.3">
      <c r="A59" s="46" t="s">
        <v>3</v>
      </c>
      <c r="B59" s="47" t="s">
        <v>15</v>
      </c>
      <c r="C59" s="46" t="s">
        <v>7</v>
      </c>
      <c r="D59" s="46" t="s">
        <v>13</v>
      </c>
    </row>
    <row r="60" spans="1:4" x14ac:dyDescent="0.25">
      <c r="A60" s="5" t="s">
        <v>21</v>
      </c>
      <c r="B60" s="4">
        <v>8</v>
      </c>
      <c r="C60" s="114" t="s">
        <v>48</v>
      </c>
      <c r="D60" s="9"/>
    </row>
    <row r="61" spans="1:4" x14ac:dyDescent="0.25">
      <c r="A61" s="1" t="s">
        <v>28</v>
      </c>
      <c r="B61" s="2">
        <v>2</v>
      </c>
      <c r="C61" s="115" t="s">
        <v>49</v>
      </c>
      <c r="D61" s="10"/>
    </row>
    <row r="62" spans="1:4" x14ac:dyDescent="0.25">
      <c r="A62" s="1" t="s">
        <v>28</v>
      </c>
      <c r="B62" s="2">
        <v>2</v>
      </c>
      <c r="C62" s="115" t="s">
        <v>50</v>
      </c>
      <c r="D62" s="10"/>
    </row>
    <row r="63" spans="1:4" x14ac:dyDescent="0.25">
      <c r="A63" s="1"/>
      <c r="B63" s="2"/>
      <c r="C63" s="10"/>
      <c r="D63" s="10"/>
    </row>
    <row r="64" spans="1:4" x14ac:dyDescent="0.25">
      <c r="A64" s="1"/>
      <c r="B64" s="2"/>
      <c r="C64" s="10"/>
      <c r="D64" s="10"/>
    </row>
    <row r="65" spans="1:4" x14ac:dyDescent="0.25">
      <c r="A65" s="1"/>
      <c r="B65" s="2"/>
      <c r="C65" s="10"/>
      <c r="D65" s="10"/>
    </row>
    <row r="66" spans="1:4" x14ac:dyDescent="0.25">
      <c r="A66" s="1"/>
      <c r="B66" s="2"/>
      <c r="C66" s="10"/>
      <c r="D66" s="10"/>
    </row>
    <row r="67" spans="1:4" x14ac:dyDescent="0.25">
      <c r="A67" s="1"/>
      <c r="B67" s="2"/>
      <c r="C67" s="10"/>
      <c r="D67" s="10"/>
    </row>
    <row r="68" spans="1:4" x14ac:dyDescent="0.25">
      <c r="A68" s="1"/>
      <c r="B68" s="2"/>
      <c r="C68" s="10"/>
      <c r="D68" s="10"/>
    </row>
    <row r="69" spans="1:4" x14ac:dyDescent="0.25">
      <c r="A69" s="2"/>
      <c r="B69" s="2"/>
      <c r="C69" s="10"/>
      <c r="D69" s="10"/>
    </row>
    <row r="70" spans="1:4" x14ac:dyDescent="0.25">
      <c r="A70" s="2"/>
      <c r="B70" s="2"/>
      <c r="C70" s="10"/>
      <c r="D70" s="10"/>
    </row>
    <row r="71" spans="1:4" x14ac:dyDescent="0.25">
      <c r="A71" s="2"/>
      <c r="B71" s="2"/>
      <c r="C71" s="10"/>
      <c r="D71" s="10"/>
    </row>
    <row r="72" spans="1:4" x14ac:dyDescent="0.25">
      <c r="A72" s="51"/>
      <c r="B72" s="51"/>
      <c r="C72" s="52"/>
      <c r="D72" s="52"/>
    </row>
    <row r="73" spans="1:4" x14ac:dyDescent="0.25">
      <c r="A73" s="51"/>
      <c r="B73" s="51"/>
      <c r="C73" s="52"/>
      <c r="D73" s="52"/>
    </row>
    <row r="74" spans="1:4" ht="14.25" thickBot="1" x14ac:dyDescent="0.3">
      <c r="A74" s="3"/>
      <c r="B74" s="3"/>
      <c r="C74" s="11"/>
      <c r="D74" s="11"/>
    </row>
    <row r="75" spans="1:4" ht="14.25" thickBot="1" x14ac:dyDescent="0.3">
      <c r="A75" s="48" t="s">
        <v>22</v>
      </c>
      <c r="B75" s="48">
        <f>SUM(B60:B74)</f>
        <v>12</v>
      </c>
      <c r="C75" s="113" t="s">
        <v>38</v>
      </c>
      <c r="D75" s="49"/>
    </row>
    <row r="76" spans="1:4" ht="15" thickBot="1" x14ac:dyDescent="0.35">
      <c r="A76" s="50"/>
      <c r="B76" s="50"/>
      <c r="C76" s="50"/>
      <c r="D76" s="50"/>
    </row>
    <row r="77" spans="1:4" ht="18.75" thickBot="1" x14ac:dyDescent="0.3">
      <c r="A77" s="43" t="s">
        <v>14</v>
      </c>
      <c r="B77" s="44">
        <v>5</v>
      </c>
      <c r="C77" s="45" t="s">
        <v>23</v>
      </c>
      <c r="D77" s="54">
        <f>$D$58+7</f>
        <v>45630</v>
      </c>
    </row>
    <row r="78" spans="1:4" ht="27.75" thickBot="1" x14ac:dyDescent="0.3">
      <c r="A78" s="46" t="s">
        <v>3</v>
      </c>
      <c r="B78" s="47" t="s">
        <v>15</v>
      </c>
      <c r="C78" s="46" t="s">
        <v>7</v>
      </c>
      <c r="D78" s="46" t="s">
        <v>13</v>
      </c>
    </row>
    <row r="79" spans="1:4" ht="27" x14ac:dyDescent="0.25">
      <c r="A79" s="5" t="s">
        <v>28</v>
      </c>
      <c r="B79" s="4">
        <v>6</v>
      </c>
      <c r="C79" s="114" t="s">
        <v>51</v>
      </c>
      <c r="D79" s="9"/>
    </row>
    <row r="80" spans="1:4" ht="27" x14ac:dyDescent="0.25">
      <c r="A80" s="1" t="s">
        <v>28</v>
      </c>
      <c r="B80" s="2">
        <v>4</v>
      </c>
      <c r="C80" s="115" t="s">
        <v>52</v>
      </c>
      <c r="D80" s="10"/>
    </row>
    <row r="81" spans="1:4" x14ac:dyDescent="0.25">
      <c r="A81" s="1" t="s">
        <v>29</v>
      </c>
      <c r="B81" s="2">
        <v>2</v>
      </c>
      <c r="C81" s="115" t="s">
        <v>53</v>
      </c>
      <c r="D81" s="10"/>
    </row>
    <row r="82" spans="1:4" x14ac:dyDescent="0.25">
      <c r="A82" s="1"/>
      <c r="B82" s="2"/>
      <c r="C82" s="10"/>
      <c r="D82" s="10"/>
    </row>
    <row r="83" spans="1:4" x14ac:dyDescent="0.25">
      <c r="A83" s="1"/>
      <c r="B83" s="2"/>
      <c r="C83" s="10"/>
      <c r="D83" s="10"/>
    </row>
    <row r="84" spans="1:4" x14ac:dyDescent="0.25">
      <c r="A84" s="1"/>
      <c r="B84" s="2"/>
      <c r="C84" s="10"/>
      <c r="D84" s="10"/>
    </row>
    <row r="85" spans="1:4" x14ac:dyDescent="0.25">
      <c r="A85" s="1"/>
      <c r="B85" s="2"/>
      <c r="C85" s="10"/>
      <c r="D85" s="10"/>
    </row>
    <row r="86" spans="1:4" x14ac:dyDescent="0.25">
      <c r="A86" s="1"/>
      <c r="B86" s="2"/>
      <c r="C86" s="10"/>
      <c r="D86" s="10"/>
    </row>
    <row r="87" spans="1:4" x14ac:dyDescent="0.25">
      <c r="A87" s="1"/>
      <c r="B87" s="2"/>
      <c r="C87" s="10"/>
      <c r="D87" s="10"/>
    </row>
    <row r="88" spans="1:4" x14ac:dyDescent="0.25">
      <c r="A88" s="2"/>
      <c r="B88" s="2"/>
      <c r="C88" s="10"/>
      <c r="D88" s="10"/>
    </row>
    <row r="89" spans="1:4" x14ac:dyDescent="0.25">
      <c r="A89" s="2"/>
      <c r="B89" s="2"/>
      <c r="C89" s="10"/>
      <c r="D89" s="10"/>
    </row>
    <row r="90" spans="1:4" x14ac:dyDescent="0.25">
      <c r="A90" s="2"/>
      <c r="B90" s="2"/>
      <c r="C90" s="10"/>
      <c r="D90" s="10"/>
    </row>
    <row r="91" spans="1:4" x14ac:dyDescent="0.25">
      <c r="A91" s="51"/>
      <c r="B91" s="51"/>
      <c r="C91" s="52"/>
      <c r="D91" s="52"/>
    </row>
    <row r="92" spans="1:4" x14ac:dyDescent="0.25">
      <c r="A92" s="51"/>
      <c r="B92" s="51"/>
      <c r="C92" s="52"/>
      <c r="D92" s="52"/>
    </row>
    <row r="93" spans="1:4" ht="14.25" thickBot="1" x14ac:dyDescent="0.3">
      <c r="A93" s="3"/>
      <c r="B93" s="3"/>
      <c r="C93" s="11"/>
      <c r="D93" s="11"/>
    </row>
    <row r="94" spans="1:4" ht="14.25" thickBot="1" x14ac:dyDescent="0.3">
      <c r="A94" s="48" t="s">
        <v>22</v>
      </c>
      <c r="B94" s="48">
        <f>SUM(B79:B93)</f>
        <v>12</v>
      </c>
      <c r="C94" s="113" t="s">
        <v>38</v>
      </c>
      <c r="D94" s="49"/>
    </row>
    <row r="95" spans="1:4" ht="15" thickBot="1" x14ac:dyDescent="0.35">
      <c r="A95" s="50"/>
      <c r="B95" s="50"/>
      <c r="C95" s="50"/>
      <c r="D95" s="50"/>
    </row>
    <row r="96" spans="1:4" ht="18.75" thickBot="1" x14ac:dyDescent="0.3">
      <c r="A96" s="43" t="s">
        <v>14</v>
      </c>
      <c r="B96" s="44">
        <v>6</v>
      </c>
      <c r="C96" s="45" t="s">
        <v>23</v>
      </c>
      <c r="D96" s="54">
        <f>$D$77+7</f>
        <v>45637</v>
      </c>
    </row>
    <row r="97" spans="1:4" ht="27.75" thickBot="1" x14ac:dyDescent="0.3">
      <c r="A97" s="46" t="s">
        <v>3</v>
      </c>
      <c r="B97" s="47" t="s">
        <v>15</v>
      </c>
      <c r="C97" s="46" t="s">
        <v>7</v>
      </c>
      <c r="D97" s="46" t="s">
        <v>13</v>
      </c>
    </row>
    <row r="98" spans="1:4" x14ac:dyDescent="0.25">
      <c r="A98" s="5" t="s">
        <v>28</v>
      </c>
      <c r="B98" s="4">
        <v>5</v>
      </c>
      <c r="C98" s="114" t="s">
        <v>54</v>
      </c>
      <c r="D98" s="9"/>
    </row>
    <row r="99" spans="1:4" x14ac:dyDescent="0.25">
      <c r="A99" s="1" t="s">
        <v>28</v>
      </c>
      <c r="B99" s="2">
        <v>6</v>
      </c>
      <c r="C99" s="115" t="s">
        <v>55</v>
      </c>
      <c r="D99" s="10"/>
    </row>
    <row r="100" spans="1:4" x14ac:dyDescent="0.25">
      <c r="A100" s="1" t="s">
        <v>29</v>
      </c>
      <c r="B100" s="2">
        <v>1</v>
      </c>
      <c r="C100" s="115" t="s">
        <v>56</v>
      </c>
      <c r="D100" s="10"/>
    </row>
    <row r="101" spans="1:4" x14ac:dyDescent="0.25">
      <c r="A101" s="1"/>
      <c r="B101" s="2"/>
      <c r="C101" s="10"/>
      <c r="D101" s="10"/>
    </row>
    <row r="102" spans="1:4" x14ac:dyDescent="0.25">
      <c r="A102" s="1"/>
      <c r="B102" s="2"/>
      <c r="C102" s="10"/>
      <c r="D102" s="10"/>
    </row>
    <row r="103" spans="1:4" x14ac:dyDescent="0.25">
      <c r="A103" s="1"/>
      <c r="B103" s="2"/>
      <c r="C103" s="10"/>
      <c r="D103" s="10"/>
    </row>
    <row r="104" spans="1:4" x14ac:dyDescent="0.25">
      <c r="A104" s="1"/>
      <c r="B104" s="2"/>
      <c r="C104" s="10"/>
      <c r="D104" s="10"/>
    </row>
    <row r="105" spans="1:4" x14ac:dyDescent="0.25">
      <c r="A105" s="1"/>
      <c r="B105" s="2"/>
      <c r="C105" s="10"/>
      <c r="D105" s="10"/>
    </row>
    <row r="106" spans="1:4" x14ac:dyDescent="0.25">
      <c r="A106" s="1"/>
      <c r="B106" s="2"/>
      <c r="C106" s="10"/>
      <c r="D106" s="10"/>
    </row>
    <row r="107" spans="1:4" x14ac:dyDescent="0.25">
      <c r="A107" s="2"/>
      <c r="B107" s="2"/>
      <c r="C107" s="10"/>
      <c r="D107" s="10"/>
    </row>
    <row r="108" spans="1:4" x14ac:dyDescent="0.25">
      <c r="A108" s="2"/>
      <c r="B108" s="2"/>
      <c r="C108" s="10"/>
      <c r="D108" s="10"/>
    </row>
    <row r="109" spans="1:4" x14ac:dyDescent="0.25">
      <c r="A109" s="2"/>
      <c r="B109" s="2"/>
      <c r="C109" s="10"/>
      <c r="D109" s="10"/>
    </row>
    <row r="110" spans="1:4" x14ac:dyDescent="0.25">
      <c r="A110" s="51"/>
      <c r="B110" s="51"/>
      <c r="C110" s="52"/>
      <c r="D110" s="52"/>
    </row>
    <row r="111" spans="1:4" x14ac:dyDescent="0.25">
      <c r="A111" s="51"/>
      <c r="B111" s="51"/>
      <c r="C111" s="52"/>
      <c r="D111" s="52"/>
    </row>
    <row r="112" spans="1:4" ht="14.25" thickBot="1" x14ac:dyDescent="0.3">
      <c r="A112" s="3"/>
      <c r="B112" s="3"/>
      <c r="C112" s="11"/>
      <c r="D112" s="11"/>
    </row>
    <row r="113" spans="1:4" ht="14.25" thickBot="1" x14ac:dyDescent="0.3">
      <c r="A113" s="48" t="s">
        <v>22</v>
      </c>
      <c r="B113" s="48">
        <f>SUM(B98:B112)</f>
        <v>12</v>
      </c>
      <c r="C113" s="113" t="s">
        <v>38</v>
      </c>
      <c r="D113" s="49"/>
    </row>
    <row r="114" spans="1:4" ht="15" thickBot="1" x14ac:dyDescent="0.35">
      <c r="A114" s="50"/>
      <c r="B114" s="50"/>
      <c r="C114" s="50"/>
      <c r="D114" s="50"/>
    </row>
    <row r="115" spans="1:4" ht="18.75" thickBot="1" x14ac:dyDescent="0.3">
      <c r="A115" s="43" t="s">
        <v>14</v>
      </c>
      <c r="B115" s="44">
        <v>7</v>
      </c>
      <c r="C115" s="45" t="s">
        <v>23</v>
      </c>
      <c r="D115" s="54">
        <f>$D$96+7</f>
        <v>45644</v>
      </c>
    </row>
    <row r="116" spans="1:4" ht="27.75" thickBot="1" x14ac:dyDescent="0.3">
      <c r="A116" s="46" t="s">
        <v>3</v>
      </c>
      <c r="B116" s="47" t="s">
        <v>15</v>
      </c>
      <c r="C116" s="46" t="s">
        <v>7</v>
      </c>
      <c r="D116" s="46" t="s">
        <v>13</v>
      </c>
    </row>
    <row r="117" spans="1:4" x14ac:dyDescent="0.25">
      <c r="A117" s="5" t="s">
        <v>28</v>
      </c>
      <c r="B117" s="4">
        <v>3</v>
      </c>
      <c r="C117" s="114" t="s">
        <v>57</v>
      </c>
      <c r="D117" s="9"/>
    </row>
    <row r="118" spans="1:4" x14ac:dyDescent="0.25">
      <c r="A118" s="1" t="s">
        <v>28</v>
      </c>
      <c r="B118" s="2">
        <v>2</v>
      </c>
      <c r="C118" s="115" t="s">
        <v>58</v>
      </c>
      <c r="D118" s="10"/>
    </row>
    <row r="119" spans="1:4" x14ac:dyDescent="0.25">
      <c r="A119" s="1" t="s">
        <v>28</v>
      </c>
      <c r="B119" s="2">
        <v>7</v>
      </c>
      <c r="C119" s="115" t="s">
        <v>59</v>
      </c>
      <c r="D119" s="10"/>
    </row>
    <row r="120" spans="1:4" x14ac:dyDescent="0.25">
      <c r="A120" s="1"/>
      <c r="B120" s="2"/>
      <c r="C120" s="10"/>
      <c r="D120" s="10"/>
    </row>
    <row r="121" spans="1:4" x14ac:dyDescent="0.25">
      <c r="A121" s="1"/>
      <c r="B121" s="2"/>
      <c r="C121" s="10"/>
      <c r="D121" s="10"/>
    </row>
    <row r="122" spans="1:4" x14ac:dyDescent="0.25">
      <c r="A122" s="1"/>
      <c r="B122" s="2"/>
      <c r="C122" s="10"/>
      <c r="D122" s="10"/>
    </row>
    <row r="123" spans="1:4" x14ac:dyDescent="0.25">
      <c r="A123" s="1"/>
      <c r="B123" s="2"/>
      <c r="C123" s="10"/>
      <c r="D123" s="10"/>
    </row>
    <row r="124" spans="1:4" x14ac:dyDescent="0.25">
      <c r="A124" s="1"/>
      <c r="B124" s="2"/>
      <c r="C124" s="10"/>
      <c r="D124" s="10"/>
    </row>
    <row r="125" spans="1:4" x14ac:dyDescent="0.25">
      <c r="A125" s="1"/>
      <c r="B125" s="2"/>
      <c r="C125" s="10"/>
      <c r="D125" s="10"/>
    </row>
    <row r="126" spans="1:4" x14ac:dyDescent="0.25">
      <c r="A126" s="2"/>
      <c r="B126" s="2"/>
      <c r="C126" s="10"/>
      <c r="D126" s="10"/>
    </row>
    <row r="127" spans="1:4" x14ac:dyDescent="0.25">
      <c r="A127" s="2"/>
      <c r="B127" s="2"/>
      <c r="C127" s="10"/>
      <c r="D127" s="10"/>
    </row>
    <row r="128" spans="1:4" x14ac:dyDescent="0.25">
      <c r="A128" s="2"/>
      <c r="B128" s="2"/>
      <c r="C128" s="10"/>
      <c r="D128" s="10"/>
    </row>
    <row r="129" spans="1:4" x14ac:dyDescent="0.25">
      <c r="A129" s="51"/>
      <c r="B129" s="51"/>
      <c r="C129" s="52"/>
      <c r="D129" s="52"/>
    </row>
    <row r="130" spans="1:4" x14ac:dyDescent="0.25">
      <c r="A130" s="51"/>
      <c r="B130" s="51"/>
      <c r="C130" s="52"/>
      <c r="D130" s="52"/>
    </row>
    <row r="131" spans="1:4" ht="14.25" thickBot="1" x14ac:dyDescent="0.3">
      <c r="A131" s="3"/>
      <c r="B131" s="3"/>
      <c r="C131" s="11"/>
      <c r="D131" s="11"/>
    </row>
    <row r="132" spans="1:4" ht="14.25" thickBot="1" x14ac:dyDescent="0.3">
      <c r="A132" s="48" t="s">
        <v>22</v>
      </c>
      <c r="B132" s="48">
        <f>SUM(B117:B131)</f>
        <v>12</v>
      </c>
      <c r="C132" s="113" t="s">
        <v>38</v>
      </c>
      <c r="D132" s="49"/>
    </row>
    <row r="133" spans="1:4" ht="15" thickBot="1" x14ac:dyDescent="0.35">
      <c r="A133" s="50"/>
      <c r="B133" s="50"/>
      <c r="C133" s="50"/>
      <c r="D133" s="50"/>
    </row>
    <row r="134" spans="1:4" ht="18.75" thickBot="1" x14ac:dyDescent="0.3">
      <c r="A134" s="43" t="s">
        <v>14</v>
      </c>
      <c r="B134" s="44">
        <v>8</v>
      </c>
      <c r="C134" s="45" t="s">
        <v>23</v>
      </c>
      <c r="D134" s="54">
        <f>$D$115+7</f>
        <v>45651</v>
      </c>
    </row>
    <row r="135" spans="1:4" ht="27.75" thickBot="1" x14ac:dyDescent="0.3">
      <c r="A135" s="46" t="s">
        <v>3</v>
      </c>
      <c r="B135" s="47" t="s">
        <v>15</v>
      </c>
      <c r="C135" s="46" t="s">
        <v>7</v>
      </c>
      <c r="D135" s="46" t="s">
        <v>13</v>
      </c>
    </row>
    <row r="136" spans="1:4" x14ac:dyDescent="0.25">
      <c r="A136" s="5"/>
      <c r="B136" s="4"/>
      <c r="C136" s="9"/>
      <c r="D136" s="9"/>
    </row>
    <row r="137" spans="1:4" x14ac:dyDescent="0.25">
      <c r="A137" s="1"/>
      <c r="B137" s="2"/>
      <c r="C137" s="10"/>
      <c r="D137" s="10"/>
    </row>
    <row r="138" spans="1:4" x14ac:dyDescent="0.25">
      <c r="A138" s="1"/>
      <c r="B138" s="2"/>
      <c r="C138" s="10"/>
      <c r="D138" s="10"/>
    </row>
    <row r="139" spans="1:4" x14ac:dyDescent="0.25">
      <c r="A139" s="1"/>
      <c r="B139" s="2"/>
      <c r="C139" s="10"/>
      <c r="D139" s="10"/>
    </row>
    <row r="140" spans="1:4" x14ac:dyDescent="0.25">
      <c r="A140" s="1"/>
      <c r="B140" s="2"/>
      <c r="C140" s="10"/>
      <c r="D140" s="10"/>
    </row>
    <row r="141" spans="1:4" x14ac:dyDescent="0.25">
      <c r="A141" s="1"/>
      <c r="B141" s="2"/>
      <c r="C141" s="10"/>
      <c r="D141" s="10"/>
    </row>
    <row r="142" spans="1:4" x14ac:dyDescent="0.25">
      <c r="A142" s="1"/>
      <c r="B142" s="2"/>
      <c r="C142" s="10"/>
      <c r="D142" s="10"/>
    </row>
    <row r="143" spans="1:4" x14ac:dyDescent="0.25">
      <c r="A143" s="1"/>
      <c r="B143" s="2"/>
      <c r="C143" s="10"/>
      <c r="D143" s="10"/>
    </row>
    <row r="144" spans="1:4" x14ac:dyDescent="0.25">
      <c r="A144" s="1"/>
      <c r="B144" s="2"/>
      <c r="C144" s="10"/>
      <c r="D144" s="10"/>
    </row>
    <row r="145" spans="1:4" x14ac:dyDescent="0.25">
      <c r="A145" s="2"/>
      <c r="B145" s="2"/>
      <c r="C145" s="10"/>
      <c r="D145" s="10"/>
    </row>
    <row r="146" spans="1:4" x14ac:dyDescent="0.25">
      <c r="A146" s="2"/>
      <c r="B146" s="2"/>
      <c r="C146" s="10"/>
      <c r="D146" s="10"/>
    </row>
    <row r="147" spans="1:4" x14ac:dyDescent="0.25">
      <c r="A147" s="2"/>
      <c r="B147" s="2"/>
      <c r="C147" s="10"/>
      <c r="D147" s="10"/>
    </row>
    <row r="148" spans="1:4" x14ac:dyDescent="0.25">
      <c r="A148" s="51"/>
      <c r="B148" s="51"/>
      <c r="C148" s="52"/>
      <c r="D148" s="52"/>
    </row>
    <row r="149" spans="1:4" x14ac:dyDescent="0.25">
      <c r="A149" s="51"/>
      <c r="B149" s="51"/>
      <c r="C149" s="52"/>
      <c r="D149" s="52"/>
    </row>
    <row r="150" spans="1:4" ht="14.25" thickBot="1" x14ac:dyDescent="0.3">
      <c r="A150" s="3"/>
      <c r="B150" s="3"/>
      <c r="C150" s="11"/>
      <c r="D150" s="11"/>
    </row>
    <row r="151" spans="1:4" ht="14.25" thickBot="1" x14ac:dyDescent="0.3">
      <c r="A151" s="48" t="s">
        <v>22</v>
      </c>
      <c r="B151" s="48">
        <f>SUM(B136:B150)</f>
        <v>0</v>
      </c>
      <c r="C151" s="113" t="s">
        <v>38</v>
      </c>
      <c r="D151" s="49"/>
    </row>
    <row r="152" spans="1:4" ht="14.25" x14ac:dyDescent="0.3">
      <c r="A152" s="50"/>
      <c r="B152" s="50"/>
      <c r="C152" s="50"/>
      <c r="D152" s="50"/>
    </row>
    <row r="153" spans="1:4" x14ac:dyDescent="0.25">
      <c r="A153" s="112" t="s">
        <v>39</v>
      </c>
    </row>
  </sheetData>
  <dataValidations count="4">
    <dataValidation type="whole" errorStyle="warning" allowBlank="1" showInputMessage="1" showErrorMessage="1" errorTitle="Dépassement de durée" error="Le nombre de minutes introduites dépasse la durée d'une période. Veuillez confirmer ... Le calcul du total sera juste dans tous les cas._x000a_" sqref="F35">
      <formula1>0</formula1>
      <formula2>DureePeriode-1</formula2>
    </dataValidation>
    <dataValidation type="whole" errorStyle="warning" operator="greaterThan" allowBlank="1" showInputMessage="1" showErrorMessage="1" errorTitle="Durée en 1/3 de période" error="Le nombre doit être de type entier" sqref="F27:F34 B3:B17 B22:B36 B41:B55 B60:B74 B79:B93 B98:B112 B117:B131 B136:B150">
      <formula1>0</formula1>
    </dataValidation>
    <dataValidation type="whole" errorStyle="warning" allowBlank="1" showErrorMessage="1" errorTitle="Dépassement de durée" error="Le nombre de minutes introduites dépasse la durée d'une période. Veuillez confirmer ... Le calcul du total sera juste dans tous les cas._x000a_" sqref="B18 B37 B56 B75 B94 B113 B132 B151">
      <formula1>0</formula1>
      <formula2>NbPerWeek * NbQuartPer</formula2>
    </dataValidation>
    <dataValidation type="list" allowBlank="1" showInputMessage="1" showErrorMessage="1" sqref="A3:A17 A22:A36 A41:A55 A60:A74 A79:A93 A98:A112 A117:A131 A136:A150">
      <formula1>lstTasks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3009" r:id="rId4" name="btnImportRealisation">
          <controlPr defaultSize="0" autoLine="0" r:id="rId5">
            <anchor moveWithCells="1">
              <from>
                <xdr:col>4</xdr:col>
                <xdr:colOff>590550</xdr:colOff>
                <xdr:row>0</xdr:row>
                <xdr:rowOff>180975</xdr:rowOff>
              </from>
              <to>
                <xdr:col>7</xdr:col>
                <xdr:colOff>257175</xdr:colOff>
                <xdr:row>2</xdr:row>
                <xdr:rowOff>152400</xdr:rowOff>
              </to>
            </anchor>
          </controlPr>
        </control>
      </mc:Choice>
      <mc:Fallback>
        <control shapeId="43009" r:id="rId4" name="btnImportRealisation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8</vt:i4>
      </vt:variant>
      <vt:variant>
        <vt:lpstr>Plages nommées</vt:lpstr>
      </vt:variant>
      <vt:variant>
        <vt:i4>13</vt:i4>
      </vt:variant>
    </vt:vector>
  </HeadingPairs>
  <TitlesOfParts>
    <vt:vector size="21" baseType="lpstr">
      <vt:lpstr>Donnees</vt:lpstr>
      <vt:lpstr>Diagramme</vt:lpstr>
      <vt:lpstr>DiagramHeader</vt:lpstr>
      <vt:lpstr>DiagramFooter</vt:lpstr>
      <vt:lpstr>PlanificationWeek</vt:lpstr>
      <vt:lpstr>Planning</vt:lpstr>
      <vt:lpstr>achievementWeek</vt:lpstr>
      <vt:lpstr>JNLTRAV</vt:lpstr>
      <vt:lpstr>datDateBegin</vt:lpstr>
      <vt:lpstr>ListTasks</vt:lpstr>
      <vt:lpstr>lstTasks</vt:lpstr>
      <vt:lpstr>NbLessons</vt:lpstr>
      <vt:lpstr>NbPerWeek</vt:lpstr>
      <vt:lpstr>NbQuartPer</vt:lpstr>
      <vt:lpstr>NbWeeks</vt:lpstr>
      <vt:lpstr>objFooterDiagram</vt:lpstr>
      <vt:lpstr>Planning!objPlanifWeek</vt:lpstr>
      <vt:lpstr>objPlanifWeek</vt:lpstr>
      <vt:lpstr>achievementWeek!objRealizedWeek</vt:lpstr>
      <vt:lpstr>JNLTRAV!objRealizedWeek</vt:lpstr>
      <vt:lpstr>Donnees!Zone_d_impression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Alban Segalen</dc:creator>
  <cp:lastModifiedBy>Alban Segalen</cp:lastModifiedBy>
  <cp:lastPrinted>2013-08-29T11:33:15Z</cp:lastPrinted>
  <dcterms:created xsi:type="dcterms:W3CDTF">1996-10-21T11:03:58Z</dcterms:created>
  <dcterms:modified xsi:type="dcterms:W3CDTF">2024-12-18T15:31:50Z</dcterms:modified>
</cp:coreProperties>
</file>