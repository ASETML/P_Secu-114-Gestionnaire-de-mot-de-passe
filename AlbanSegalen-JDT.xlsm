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oc\Documents\GitHub\P_Secu-114-Gestionnaire-de-mot-de-passe\"/>
    </mc:Choice>
  </mc:AlternateContent>
  <xr:revisionPtr revIDLastSave="0" documentId="13_ncr:1_{DB984F72-9F03-40BD-A378-08D7792F6CCC}" xr6:coauthVersionLast="47" xr6:coauthVersionMax="47" xr10:uidLastSave="{00000000-0000-0000-0000-000000000000}"/>
  <bookViews>
    <workbookView xWindow="-104" yWindow="-104" windowWidth="22326" windowHeight="11947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D134" i="157" s="1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<sst xmlns="http://schemas.openxmlformats.org/spreadsheetml/2006/main" count="225" uniqueCount="68">
  <si>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</si>
  <si>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</si>
  <si>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</si>
  <si>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</si>
  <si>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</si>
  <si>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</si>
  <si>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</si>
  <si>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</si>
  <si>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</si>
  <si>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</si>
  <si>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</si>
  <si>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</si>
  <si>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</si>
  <si>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</si>
  <si>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</si>
  <si>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</si>
  <si>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</si>
  <si>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</si>
  <si>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</si>
  <si>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</si>
  <si>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</si>
  <si>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</si>
  <si>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</si>
  <si>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</si>
  <si>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</si>
  <si>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</si>
  <si>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</si>
  <si>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</si>
  <si>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</si>
  <si>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</si>
  <si>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</si>
  <si>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</si>
  <si>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</si>
  <si>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</si>
  <si>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</si>
  <si>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</si>
  <si>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</si>
  <si>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</si>
  <si>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</si>
  <si>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</si>
  <si>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</si>
  <si>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</si>
  <si>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</si>
  <si>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</si>
  <si>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</si>
  <si>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</si>
  <si>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</si>
  <si>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</si>
  <si>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</si>
  <si>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</si>
  <si>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</si>
  <si>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</si>
  <si>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</si>
  <si>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</si>
  <si>
    <t>Correction du fichier de sauvegarde</t>
  </si>
  <si>
    <t>Menu de navigation, barre de scroll</t>
  </si>
  <si>
    <t>Journal de travail</t>
  </si>
  <si>
    <t>On peut modifier les mots de passe sur l'écran d'affichage</t>
  </si>
  <si>
    <t>Cacher la zone de saisie de mdp sur l'écran d'affichage</t>
  </si>
  <si>
    <t>Changement de l'algorithme de sauvergarde (saveFile et readFile)</t>
  </si>
  <si>
    <t>80% -&gt; Winform OK, un fichier par password, compacter boutons, plus de réflexion dans le rapport, utiliser modulo vigenère</t>
  </si>
  <si>
    <t>Ajout des fonctions importantes</t>
  </si>
  <si>
    <t>Rapport/	Modules et fonctions principales</t>
  </si>
  <si>
    <t>Tableau des tests</t>
  </si>
  <si>
    <t>Compacter les eventHandler de EntryForm et MainMenu. Au lieu d'avoir une méthode par élement, il y a une méthode par action (mouseDown, mouseUp, click)</t>
  </si>
  <si>
    <t>Reécriture totale des méthodes de sauvegarde : passage d'un fichier à un dossier qui contient plusieurs fichiers</t>
  </si>
  <si>
    <t>Schémas des algorithmes, structure du code</t>
  </si>
  <si>
    <t>Rapport/TESTS ET 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</si>
</sst>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7" fillId="14" borderId="29" xfId="0" applyFont="1" applyFill="1" applyBorder="1" applyAlignment="1">
      <alignment horizontal="center" vertical="center"/>
    </xf>
    <xf numFmtId="0" fontId="17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9" fillId="4" borderId="13" xfId="0" applyFont="1" applyFill="1" applyBorder="1" applyAlignment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center" vertical="center"/>
    </xf>
    <xf numFmtId="0" fontId="18" fillId="9" borderId="12" xfId="0" applyFont="1" applyFill="1" applyBorder="1" applyAlignment="1">
      <alignment horizontal="center" vertical="center"/>
    </xf>
    <xf numFmtId="0" fontId="18" fillId="9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6" fillId="6" borderId="35" xfId="0" applyFont="1" applyFill="1" applyBorder="1" applyAlignment="1">
      <alignment vertical="center"/>
    </xf>
    <xf numFmtId="0" fontId="16" fillId="6" borderId="19" xfId="0" applyFont="1" applyFill="1" applyBorder="1" applyAlignment="1">
      <alignment vertical="center"/>
    </xf>
    <xf numFmtId="1" fontId="16" fillId="6" borderId="35" xfId="0" applyNumberFormat="1" applyFont="1" applyFill="1" applyBorder="1" applyAlignment="1">
      <alignment vertical="center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Hyperlink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</xdr:colOff>
          <xdr:row>1</xdr:row>
          <xdr:rowOff>160934</xdr:rowOff>
        </xdr:from>
        <xdr:to>
          <xdr:col>6</xdr:col>
          <xdr:colOff>73152</xdr:colOff>
          <xdr:row>3</xdr:row>
          <xdr:rowOff>197510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</xdr:colOff>
          <xdr:row>5</xdr:row>
          <xdr:rowOff>7315</xdr:rowOff>
        </xdr:from>
        <xdr:to>
          <xdr:col>6</xdr:col>
          <xdr:colOff>95098</xdr:colOff>
          <xdr:row>7</xdr:row>
          <xdr:rowOff>51206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7315</xdr:colOff>
          <xdr:row>8</xdr:row>
          <xdr:rowOff>190195</xdr:rowOff>
        </xdr:from>
        <xdr:to>
          <xdr:col>6</xdr:col>
          <xdr:colOff>117043</xdr:colOff>
          <xdr:row>10</xdr:row>
          <xdr:rowOff>153619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592531</xdr:colOff>
          <xdr:row>0</xdr:row>
          <xdr:rowOff>182880</xdr:rowOff>
        </xdr:from>
        <xdr:to>
          <xdr:col>7</xdr:col>
          <xdr:colOff>256032</xdr:colOff>
          <xdr:row>2</xdr:row>
          <xdr:rowOff>153619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defaultColWidth="11.5546875" defaultRowHeight="12.7" x14ac:dyDescent="0.25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3.25" thickBot="1" x14ac:dyDescent="0.3">
      <c r="A2" s="58"/>
      <c r="B2" s="59"/>
      <c r="C2" s="59"/>
      <c r="D2" s="59"/>
      <c r="E2" s="59"/>
      <c r="F2" s="59"/>
      <c r="G2" s="60"/>
    </row>
    <row r="3" spans="1:7" ht="20.7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7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7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35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3.25" thickBot="1" x14ac:dyDescent="0.3">
      <c r="A8" s="58"/>
      <c r="B8" s="59"/>
      <c r="C8" s="59"/>
      <c r="D8" s="59"/>
      <c r="E8" s="59"/>
      <c r="F8" s="59"/>
      <c r="G8" s="60"/>
    </row>
    <row r="9" spans="1:7" ht="20.75" x14ac:dyDescent="0.25">
      <c r="A9" s="58"/>
      <c r="B9" s="61" t="s">
        <v>9</v>
      </c>
      <c r="C9" s="67">
        <v>45602</v>
      </c>
      <c r="D9" s="59"/>
      <c r="E9" s="59"/>
      <c r="F9" s="59"/>
      <c r="G9" s="60"/>
    </row>
    <row r="10" spans="1:7" ht="20.75" x14ac:dyDescent="0.25">
      <c r="A10" s="58"/>
      <c r="B10" s="68" t="s">
        <v>8</v>
      </c>
      <c r="C10" s="69">
        <v>45665</v>
      </c>
      <c r="D10" s="59"/>
      <c r="E10" s="59"/>
      <c r="F10" s="59"/>
      <c r="G10" s="60"/>
    </row>
    <row r="11" spans="1:7" ht="20.7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7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7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3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3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3.25" thickBot="1" x14ac:dyDescent="0.3">
      <c r="A18" s="78"/>
      <c r="B18" s="59"/>
      <c r="C18" s="59"/>
      <c r="D18" s="59"/>
      <c r="E18" s="59"/>
      <c r="F18" s="59"/>
      <c r="G18" s="60"/>
    </row>
    <row r="19" spans="1:7" ht="20.75" thickBot="1" x14ac:dyDescent="0.3">
      <c r="A19" s="78"/>
      <c r="B19" s="109" t="s">
        <v>19</v>
      </c>
      <c r="C19" s="110"/>
      <c r="D19" s="59"/>
      <c r="E19" s="59"/>
      <c r="F19" s="59"/>
      <c r="G19" s="60"/>
    </row>
    <row r="20" spans="1:7" ht="20.7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7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7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7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7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7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7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7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7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7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7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7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7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7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7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7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7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7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7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7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7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7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7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7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7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.35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3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7315</xdr:colOff>
                <xdr:row>8</xdr:row>
                <xdr:rowOff>190195</xdr:rowOff>
              </from>
              <to>
                <xdr:col>6</xdr:col>
                <xdr:colOff>117043</xdr:colOff>
                <xdr:row>10</xdr:row>
                <xdr:rowOff>153619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7315</xdr:colOff>
                <xdr:row>1</xdr:row>
                <xdr:rowOff>160934</xdr:rowOff>
              </from>
              <to>
                <xdr:col>6</xdr:col>
                <xdr:colOff>73152</xdr:colOff>
                <xdr:row>3</xdr:row>
                <xdr:rowOff>197510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7315</xdr:colOff>
                <xdr:row>5</xdr:row>
                <xdr:rowOff>7315</xdr:rowOff>
              </from>
              <to>
                <xdr:col>6</xdr:col>
                <xdr:colOff>95098</xdr:colOff>
                <xdr:row>7</xdr:row>
                <xdr:rowOff>51206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CU16"/>
  <sheetViews>
    <sheetView workbookViewId="0">
      <selection activeCell="B1" sqref="B1"/>
    </sheetView>
  </sheetViews>
  <sheetFormatPr defaultColWidth="1.5546875" defaultRowHeight="19.45" customHeight="1" x14ac:dyDescent="0.25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99" ht="13.25" thickBot="1" x14ac:dyDescent="0.3">
      <c r="B1" s="21"/>
      <c r="C1" s="21"/>
    </row>
    <row r="2" spans="1:99" ht="42.8" customHeight="1" thickBot="1" x14ac:dyDescent="0.3">
      <c r="A2" s="19"/>
      <c r="B2" s="23" t="s">
        <v>5</v>
      </c>
      <c r="C2" s="15" t="s">
        <v>18</v>
      </c>
      <c r="D2" s="111" t="s">
        <v>30</v>
      </c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3"/>
      <c r="P2" s="111" t="s">
        <v>31</v>
      </c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3"/>
      <c r="AB2" s="111" t="s">
        <v>32</v>
      </c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3"/>
      <c r="AN2" s="111" t="s">
        <v>33</v>
      </c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3"/>
      <c r="AZ2" s="111" t="s">
        <v>34</v>
      </c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3"/>
      <c r="BL2" s="111" t="s">
        <v>35</v>
      </c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3"/>
      <c r="BX2" s="111" t="s">
        <v>36</v>
      </c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3"/>
      <c r="CJ2" s="111" t="s">
        <v>37</v>
      </c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3"/>
    </row>
    <row r="3" spans="1:99" ht="19.45" customHeight="1" x14ac:dyDescent="0.25">
      <c r="A3" s="19"/>
      <c r="B3" s="114" t="s">
        <v>21</v>
      </c>
      <c r="C3" s="16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90"/>
      <c r="P3" s="86"/>
      <c r="Q3" s="87"/>
      <c r="R3" s="88"/>
      <c r="S3" s="89"/>
      <c r="T3" s="87"/>
      <c r="U3" s="88"/>
      <c r="V3" s="89"/>
      <c r="W3" s="87"/>
      <c r="X3" s="88"/>
      <c r="Y3" s="89"/>
      <c r="Z3" s="87"/>
      <c r="AA3" s="90"/>
      <c r="AB3" s="86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90"/>
      <c r="AZ3" s="86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90"/>
      <c r="BL3" s="86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90"/>
      <c r="BX3" s="86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90"/>
      <c r="CJ3" s="86"/>
      <c r="CK3" s="87"/>
      <c r="CL3" s="88"/>
      <c r="CM3" s="89"/>
      <c r="CN3" s="87"/>
      <c r="CO3" s="88"/>
      <c r="CP3" s="89"/>
      <c r="CQ3" s="87"/>
      <c r="CR3" s="88"/>
      <c r="CS3" s="89"/>
      <c r="CT3" s="87"/>
      <c r="CU3" s="90"/>
    </row>
    <row r="4" spans="1:99" ht="19.45" customHeight="1" thickBot="1" x14ac:dyDescent="0.3">
      <c r="A4" s="19"/>
      <c r="B4" s="115"/>
      <c r="C4" s="22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5"/>
      <c r="P4" s="91"/>
      <c r="Q4" s="92"/>
      <c r="R4" s="93"/>
      <c r="S4" s="94"/>
      <c r="T4" s="92"/>
      <c r="U4" s="93"/>
      <c r="V4" s="94"/>
      <c r="W4" s="92"/>
      <c r="X4" s="93"/>
      <c r="Y4" s="94"/>
      <c r="Z4" s="92"/>
      <c r="AA4" s="95"/>
      <c r="AB4" s="91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5"/>
      <c r="AZ4" s="91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5"/>
      <c r="BL4" s="91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5"/>
      <c r="BX4" s="91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5"/>
      <c r="CJ4" s="91"/>
      <c r="CK4" s="92"/>
      <c r="CL4" s="93"/>
      <c r="CM4" s="94"/>
      <c r="CN4" s="92"/>
      <c r="CO4" s="93"/>
      <c r="CP4" s="94"/>
      <c r="CQ4" s="92"/>
      <c r="CR4" s="93"/>
      <c r="CS4" s="94"/>
      <c r="CT4" s="92"/>
      <c r="CU4" s="95"/>
    </row>
    <row r="5" spans="1:99" ht="19.45" customHeight="1" x14ac:dyDescent="0.25">
      <c r="B5" s="116" t="str">
        <f>Donnees!$C$21</f>
        <v>Code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90"/>
      <c r="P5" s="86"/>
      <c r="Q5" s="87"/>
      <c r="R5" s="88"/>
      <c r="S5" s="89"/>
      <c r="T5" s="87"/>
      <c r="U5" s="88"/>
      <c r="V5" s="89"/>
      <c r="W5" s="87"/>
      <c r="X5" s="88"/>
      <c r="Y5" s="89"/>
      <c r="Z5" s="87"/>
      <c r="AA5" s="90"/>
      <c r="AB5" s="86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90"/>
      <c r="AZ5" s="86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90"/>
      <c r="BL5" s="86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90"/>
      <c r="BX5" s="86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90"/>
      <c r="CJ5" s="86"/>
      <c r="CK5" s="87"/>
      <c r="CL5" s="88"/>
      <c r="CM5" s="89"/>
      <c r="CN5" s="87"/>
      <c r="CO5" s="88"/>
      <c r="CP5" s="89"/>
      <c r="CQ5" s="87"/>
      <c r="CR5" s="88"/>
      <c r="CS5" s="89"/>
      <c r="CT5" s="87"/>
      <c r="CU5" s="90"/>
    </row>
    <row r="6" spans="1:99" ht="19.45" customHeight="1" thickBot="1" x14ac:dyDescent="0.3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5"/>
      <c r="P6" s="91"/>
      <c r="Q6" s="92"/>
      <c r="R6" s="93"/>
      <c r="S6" s="94"/>
      <c r="T6" s="92"/>
      <c r="U6" s="93"/>
      <c r="V6" s="94"/>
      <c r="W6" s="92"/>
      <c r="X6" s="93"/>
      <c r="Y6" s="94"/>
      <c r="Z6" s="92"/>
      <c r="AA6" s="95"/>
      <c r="AB6" s="91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5"/>
      <c r="AZ6" s="91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5"/>
      <c r="BL6" s="91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5"/>
      <c r="BX6" s="91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5"/>
      <c r="CJ6" s="91"/>
      <c r="CK6" s="92"/>
      <c r="CL6" s="93"/>
      <c r="CM6" s="94"/>
      <c r="CN6" s="92"/>
      <c r="CO6" s="93"/>
      <c r="CP6" s="94"/>
      <c r="CQ6" s="92"/>
      <c r="CR6" s="93"/>
      <c r="CS6" s="94"/>
      <c r="CT6" s="92"/>
      <c r="CU6" s="95"/>
    </row>
    <row r="7" spans="1:99" ht="19.45" customHeight="1" x14ac:dyDescent="0.25">
      <c r="B7" s="118" t="str">
        <f>Donnees!$C$22</f>
        <v>Rapport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90"/>
      <c r="P7" s="86"/>
      <c r="Q7" s="87"/>
      <c r="R7" s="88"/>
      <c r="S7" s="89"/>
      <c r="T7" s="87"/>
      <c r="U7" s="88"/>
      <c r="V7" s="89"/>
      <c r="W7" s="87"/>
      <c r="X7" s="88"/>
      <c r="Y7" s="89"/>
      <c r="Z7" s="87"/>
      <c r="AA7" s="90"/>
      <c r="AB7" s="86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90"/>
      <c r="AZ7" s="86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90"/>
      <c r="BL7" s="86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90"/>
      <c r="BX7" s="86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90"/>
      <c r="CJ7" s="86"/>
      <c r="CK7" s="87"/>
      <c r="CL7" s="88"/>
      <c r="CM7" s="89"/>
      <c r="CN7" s="87"/>
      <c r="CO7" s="88"/>
      <c r="CP7" s="89"/>
      <c r="CQ7" s="87"/>
      <c r="CR7" s="88"/>
      <c r="CS7" s="89"/>
      <c r="CT7" s="87"/>
      <c r="CU7" s="90"/>
    </row>
    <row r="8" spans="1:99" ht="19.45" customHeigh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5"/>
      <c r="P8" s="91"/>
      <c r="Q8" s="92"/>
      <c r="R8" s="93"/>
      <c r="S8" s="94"/>
      <c r="T8" s="92"/>
      <c r="U8" s="93"/>
      <c r="V8" s="94"/>
      <c r="W8" s="92"/>
      <c r="X8" s="93"/>
      <c r="Y8" s="94"/>
      <c r="Z8" s="92"/>
      <c r="AA8" s="95"/>
      <c r="AB8" s="91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5"/>
      <c r="AZ8" s="91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5"/>
      <c r="BL8" s="91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5"/>
      <c r="BX8" s="91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5"/>
      <c r="CJ8" s="91"/>
      <c r="CK8" s="92"/>
      <c r="CL8" s="93"/>
      <c r="CM8" s="94"/>
      <c r="CN8" s="92"/>
      <c r="CO8" s="93"/>
      <c r="CP8" s="94"/>
      <c r="CQ8" s="92"/>
      <c r="CR8" s="93"/>
      <c r="CS8" s="94"/>
      <c r="CT8" s="92"/>
      <c r="CU8" s="95"/>
    </row>
    <row r="9" spans="1:99" ht="19.45" customHeight="1" x14ac:dyDescent="0.25">
      <c r="B9" s="25" t="s">
        <v>16</v>
      </c>
      <c r="C9" s="27">
        <f>SUM($C$3,$C$5,$C$7)</f>
        <v>0</v>
      </c>
      <c r="D9" s="98"/>
      <c r="E9" s="99"/>
      <c r="F9" s="99"/>
      <c r="G9" s="99"/>
      <c r="H9" s="99"/>
      <c r="I9" s="99"/>
      <c r="J9" s="99"/>
      <c r="K9" s="99"/>
      <c r="L9" s="99"/>
      <c r="M9" s="99"/>
      <c r="N9" s="99"/>
      <c r="O9" s="100"/>
      <c r="P9" s="98"/>
      <c r="Q9" s="99"/>
      <c r="R9" s="99"/>
      <c r="S9" s="99"/>
      <c r="T9" s="99"/>
      <c r="U9" s="99"/>
      <c r="V9" s="99"/>
      <c r="W9" s="99"/>
      <c r="X9" s="99"/>
      <c r="Y9" s="99"/>
      <c r="Z9" s="99"/>
      <c r="AA9" s="100"/>
      <c r="AB9" s="98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100"/>
      <c r="AN9" s="98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100"/>
      <c r="AZ9" s="98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100"/>
      <c r="BL9" s="98"/>
      <c r="BM9" s="99"/>
      <c r="BN9" s="99"/>
      <c r="BO9" s="99"/>
      <c r="BP9" s="99"/>
      <c r="BQ9" s="99"/>
      <c r="BR9" s="99"/>
      <c r="BS9" s="99"/>
      <c r="BT9" s="99"/>
      <c r="BU9" s="99"/>
      <c r="BV9" s="99"/>
      <c r="BW9" s="100"/>
      <c r="BX9" s="98"/>
      <c r="BY9" s="99"/>
      <c r="BZ9" s="99"/>
      <c r="CA9" s="99"/>
      <c r="CB9" s="99"/>
      <c r="CC9" s="99"/>
      <c r="CD9" s="99"/>
      <c r="CE9" s="99"/>
      <c r="CF9" s="99"/>
      <c r="CG9" s="99"/>
      <c r="CH9" s="99"/>
      <c r="CI9" s="100"/>
      <c r="CJ9" s="98"/>
      <c r="CK9" s="99"/>
      <c r="CL9" s="99"/>
      <c r="CM9" s="99"/>
      <c r="CN9" s="99"/>
      <c r="CO9" s="99"/>
      <c r="CP9" s="99"/>
      <c r="CQ9" s="99"/>
      <c r="CR9" s="99"/>
      <c r="CS9" s="99"/>
      <c r="CT9" s="99"/>
      <c r="CU9" s="100"/>
    </row>
    <row r="10" spans="1:99" ht="19.45" customHeight="1" thickBot="1" x14ac:dyDescent="0.3">
      <c r="B10" s="26" t="s">
        <v>17</v>
      </c>
      <c r="C10" s="28">
        <f>SUM($C$4,$C$6,$C$8)</f>
        <v>0</v>
      </c>
      <c r="D10" s="101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3"/>
      <c r="P10" s="101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3"/>
      <c r="AB10" s="101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3"/>
      <c r="AN10" s="101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3"/>
      <c r="AZ10" s="101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3"/>
      <c r="BL10" s="101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3"/>
      <c r="BX10" s="101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3"/>
      <c r="CJ10" s="101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3"/>
    </row>
    <row r="16" spans="1:99" ht="19.45" customHeight="1" x14ac:dyDescent="0.25">
      <c r="A16" s="41"/>
    </row>
  </sheetData>
  <sheetProtection sheet="1" objects="1" scenarios="1" insertRows="0" selectLockedCells="1"/>
  <mergeCells count="11">
    <mergeCell ref="AB2:AM2"/>
    <mergeCell ref="B3:B4"/>
    <mergeCell ref="B5:B6"/>
    <mergeCell ref="B7:B8"/>
    <mergeCell ref="D2:O2"/>
    <mergeCell ref="P2:AA2"/>
    <mergeCell ref="AN2:AY2"/>
    <mergeCell ref="AZ2:BK2"/>
    <mergeCell ref="BL2:BW2"/>
    <mergeCell ref="BX2:CI2"/>
    <mergeCell ref="CJ2:CU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defaultColWidth="1.5546875" defaultRowHeight="19.45" customHeight="1" x14ac:dyDescent="0.25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25" thickBot="1" x14ac:dyDescent="0.3">
      <c r="B1" s="21"/>
      <c r="C1" s="21"/>
    </row>
    <row r="2" spans="1:4" ht="42.8" customHeight="1" thickBot="1" x14ac:dyDescent="0.3">
      <c r="A2" s="19"/>
      <c r="B2" s="23" t="s">
        <v>5</v>
      </c>
      <c r="C2" s="15" t="s">
        <v>18</v>
      </c>
    </row>
    <row r="3" spans="1:4" ht="19.45" customHeight="1" x14ac:dyDescent="0.25">
      <c r="A3" s="19"/>
      <c r="B3" s="114" t="s">
        <v>21</v>
      </c>
      <c r="C3" s="16">
        <v>0</v>
      </c>
    </row>
    <row r="4" spans="1:4" ht="19.45" customHeight="1" x14ac:dyDescent="0.25">
      <c r="A4" s="19"/>
      <c r="B4" s="115"/>
      <c r="C4" s="22">
        <v>0</v>
      </c>
      <c r="D4" s="29"/>
    </row>
    <row r="16" spans="1:4" ht="19.4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defaultColWidth="11.5546875" defaultRowHeight="12.7" x14ac:dyDescent="0.25"/>
  <cols>
    <col min="2" max="2" width="51.88671875" customWidth="1"/>
    <col min="3" max="3" width="35" customWidth="1"/>
  </cols>
  <sheetData>
    <row r="3" spans="2:3" ht="27.8" customHeight="1" x14ac:dyDescent="0.25">
      <c r="B3" s="25" t="s">
        <v>16</v>
      </c>
      <c r="C3" s="27">
        <v>0</v>
      </c>
    </row>
    <row r="4" spans="2:3" ht="17.850000000000001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H31"/>
  <sheetViews>
    <sheetView workbookViewId="0">
      <selection activeCell="D1" sqref="D1"/>
    </sheetView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6" t="s">
        <v>14</v>
      </c>
      <c r="B1" s="7">
        <v>1</v>
      </c>
      <c r="C1" s="17"/>
      <c r="D1" s="85"/>
    </row>
    <row r="2" spans="1:4" ht="23.6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.25" thickBot="1" x14ac:dyDescent="0.3">
      <c r="A12" s="3"/>
      <c r="B12" s="3"/>
      <c r="C12" s="11"/>
      <c r="D12" s="11"/>
    </row>
    <row r="13" spans="1:4" ht="13.25" thickBot="1" x14ac:dyDescent="0.3">
      <c r="A13" s="12" t="s">
        <v>22</v>
      </c>
      <c r="B13" s="12">
        <f>SUM(B3:B12)</f>
        <v>0</v>
      </c>
      <c r="C13" s="13"/>
      <c r="D13" s="13"/>
    </row>
    <row r="14" spans="1:4" ht="13.25" x14ac:dyDescent="0.3">
      <c r="A14" s="14"/>
      <c r="B14" s="14"/>
      <c r="C14" s="14"/>
      <c r="D14" s="14"/>
    </row>
    <row r="20" spans="1:8" ht="12.85" customHeight="1" x14ac:dyDescent="0.25">
      <c r="A20" s="30"/>
      <c r="B20" s="31"/>
      <c r="C20" s="32"/>
      <c r="D20" s="33"/>
      <c r="F20" s="31"/>
      <c r="G20" s="32"/>
      <c r="H20" s="33"/>
    </row>
    <row r="21" spans="1:8" ht="15.5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3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H113"/>
  <sheetViews>
    <sheetView workbookViewId="0"/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6" t="s">
        <v>14</v>
      </c>
      <c r="B1" s="7">
        <v>1</v>
      </c>
      <c r="C1" s="17"/>
      <c r="D1" s="85"/>
    </row>
    <row r="2" spans="1:4" ht="23.6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3.25" thickBot="1" x14ac:dyDescent="0.3">
      <c r="A12" s="3"/>
      <c r="B12" s="3"/>
      <c r="C12" s="11"/>
      <c r="D12" s="11"/>
    </row>
    <row r="13" spans="1:4" ht="13.25" thickBot="1" x14ac:dyDescent="0.3">
      <c r="A13" s="12" t="s">
        <v>22</v>
      </c>
      <c r="B13" s="12">
        <f>SUM(B3:B12)</f>
        <v>0</v>
      </c>
      <c r="C13" s="104" t="s">
        <v>38</v>
      </c>
      <c r="D13" s="13"/>
    </row>
    <row r="14" spans="1:4" ht="13.85" thickBot="1" x14ac:dyDescent="0.35">
      <c r="A14" s="14"/>
      <c r="B14" s="14"/>
      <c r="C14" s="14"/>
      <c r="D14" s="14"/>
    </row>
    <row r="15" spans="1:4" ht="17.850000000000001" thickBot="1" x14ac:dyDescent="0.3">
      <c r="A15" s="6" t="s">
        <v>14</v>
      </c>
      <c r="B15" s="7">
        <v>2</v>
      </c>
      <c r="C15" s="17"/>
      <c r="D15" s="85"/>
    </row>
    <row r="16" spans="1:4" ht="23.6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/>
      <c r="B17" s="4"/>
      <c r="C17" s="9"/>
      <c r="D17" s="9"/>
    </row>
    <row r="18" spans="1:8" x14ac:dyDescent="0.25">
      <c r="A18" s="1"/>
      <c r="B18" s="2"/>
      <c r="C18" s="10"/>
      <c r="D18" s="10"/>
    </row>
    <row r="19" spans="1:8" x14ac:dyDescent="0.25">
      <c r="A19" s="1"/>
      <c r="B19" s="2"/>
      <c r="C19" s="10"/>
      <c r="D19" s="10"/>
    </row>
    <row r="20" spans="1:8" ht="12.85" customHeight="1" x14ac:dyDescent="0.25">
      <c r="A20" s="1"/>
      <c r="B20" s="2"/>
      <c r="C20" s="10"/>
      <c r="D20" s="10"/>
      <c r="F20" s="31"/>
      <c r="G20" s="32"/>
      <c r="H20" s="33"/>
    </row>
    <row r="21" spans="1:8" ht="15.5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3.25" thickBot="1" x14ac:dyDescent="0.3">
      <c r="A26" s="3"/>
      <c r="B26" s="3"/>
      <c r="C26" s="11"/>
      <c r="D26" s="11"/>
      <c r="F26" s="36"/>
      <c r="G26" s="37"/>
      <c r="H26" s="37"/>
    </row>
    <row r="27" spans="1:8" ht="13.25" thickBot="1" x14ac:dyDescent="0.3">
      <c r="A27" s="12" t="s">
        <v>22</v>
      </c>
      <c r="B27" s="12">
        <f>SUM(B17:B26)</f>
        <v>0</v>
      </c>
      <c r="C27" s="104" t="s">
        <v>38</v>
      </c>
      <c r="D27" s="13"/>
      <c r="F27" s="36"/>
      <c r="G27" s="37"/>
      <c r="H27" s="37"/>
    </row>
    <row r="28" spans="1:8" ht="13.85" thickBot="1" x14ac:dyDescent="0.35">
      <c r="A28" s="14"/>
      <c r="B28" s="14"/>
      <c r="C28" s="14"/>
      <c r="D28" s="14"/>
      <c r="F28" s="36"/>
      <c r="G28" s="37"/>
      <c r="H28" s="37"/>
    </row>
    <row r="29" spans="1:8" ht="17.850000000000001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3.6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3.25" x14ac:dyDescent="0.3">
      <c r="A31" s="5"/>
      <c r="B31" s="4"/>
      <c r="C31" s="9"/>
      <c r="D31" s="9"/>
      <c r="F31" s="40"/>
      <c r="G31" s="40"/>
      <c r="H31" s="40"/>
    </row>
    <row r="32" spans="1:8" x14ac:dyDescent="0.25">
      <c r="A32" s="1"/>
      <c r="B32" s="2"/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3.25" thickBot="1" x14ac:dyDescent="0.3">
      <c r="A40" s="3"/>
      <c r="B40" s="3"/>
      <c r="C40" s="11"/>
      <c r="D40" s="11"/>
    </row>
    <row r="41" spans="1:4" ht="13.25" thickBot="1" x14ac:dyDescent="0.3">
      <c r="A41" s="12" t="s">
        <v>22</v>
      </c>
      <c r="B41" s="12">
        <f>SUM(B31:B40)</f>
        <v>0</v>
      </c>
      <c r="C41" s="104" t="s">
        <v>38</v>
      </c>
      <c r="D41" s="13"/>
    </row>
    <row r="42" spans="1:4" ht="13.85" thickBot="1" x14ac:dyDescent="0.35">
      <c r="A42" s="14"/>
      <c r="B42" s="14"/>
      <c r="C42" s="14"/>
      <c r="D42" s="14"/>
    </row>
    <row r="43" spans="1:4" ht="17.850000000000001" thickBot="1" x14ac:dyDescent="0.3">
      <c r="A43" s="6" t="s">
        <v>14</v>
      </c>
      <c r="B43" s="7">
        <v>4</v>
      </c>
      <c r="C43" s="17"/>
      <c r="D43" s="85"/>
    </row>
    <row r="44" spans="1:4" ht="23.6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x14ac:dyDescent="0.25">
      <c r="A45" s="5"/>
      <c r="B45" s="4"/>
      <c r="C45" s="9"/>
      <c r="D45" s="9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3.25" thickBot="1" x14ac:dyDescent="0.3">
      <c r="A54" s="3"/>
      <c r="B54" s="3"/>
      <c r="C54" s="11"/>
      <c r="D54" s="11"/>
    </row>
    <row r="55" spans="1:4" ht="13.25" thickBot="1" x14ac:dyDescent="0.3">
      <c r="A55" s="12" t="s">
        <v>22</v>
      </c>
      <c r="B55" s="12">
        <f>SUM(B45:B54)</f>
        <v>0</v>
      </c>
      <c r="C55" s="104" t="s">
        <v>38</v>
      </c>
      <c r="D55" s="13"/>
    </row>
    <row r="56" spans="1:4" ht="13.85" thickBot="1" x14ac:dyDescent="0.35">
      <c r="A56" s="14"/>
      <c r="B56" s="14"/>
      <c r="C56" s="14"/>
      <c r="D56" s="14"/>
    </row>
    <row r="57" spans="1:4" ht="17.850000000000001" thickBot="1" x14ac:dyDescent="0.3">
      <c r="A57" s="6" t="s">
        <v>14</v>
      </c>
      <c r="B57" s="7">
        <v>5</v>
      </c>
      <c r="C57" s="17"/>
      <c r="D57" s="85"/>
    </row>
    <row r="58" spans="1:4" ht="23.6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3.25" thickBot="1" x14ac:dyDescent="0.3">
      <c r="A68" s="3"/>
      <c r="B68" s="3"/>
      <c r="C68" s="11"/>
      <c r="D68" s="11"/>
    </row>
    <row r="69" spans="1:4" ht="13.25" thickBot="1" x14ac:dyDescent="0.3">
      <c r="A69" s="12" t="s">
        <v>22</v>
      </c>
      <c r="B69" s="12">
        <f>SUM(B59:B68)</f>
        <v>0</v>
      </c>
      <c r="C69" s="104" t="s">
        <v>38</v>
      </c>
      <c r="D69" s="13"/>
    </row>
    <row r="70" spans="1:4" ht="13.85" thickBot="1" x14ac:dyDescent="0.35">
      <c r="A70" s="14"/>
      <c r="B70" s="14"/>
      <c r="C70" s="14"/>
      <c r="D70" s="14"/>
    </row>
    <row r="71" spans="1:4" ht="17.850000000000001" thickBot="1" x14ac:dyDescent="0.3">
      <c r="A71" s="6" t="s">
        <v>14</v>
      </c>
      <c r="B71" s="7">
        <v>6</v>
      </c>
      <c r="C71" s="17"/>
      <c r="D71" s="85"/>
    </row>
    <row r="72" spans="1:4" ht="23.6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3.25" thickBot="1" x14ac:dyDescent="0.3">
      <c r="A82" s="3"/>
      <c r="B82" s="3"/>
      <c r="C82" s="11"/>
      <c r="D82" s="11"/>
    </row>
    <row r="83" spans="1:4" ht="13.25" thickBot="1" x14ac:dyDescent="0.3">
      <c r="A83" s="12" t="s">
        <v>22</v>
      </c>
      <c r="B83" s="12">
        <f>SUM(B73:B82)</f>
        <v>0</v>
      </c>
      <c r="C83" s="104" t="s">
        <v>38</v>
      </c>
      <c r="D83" s="13"/>
    </row>
    <row r="84" spans="1:4" ht="13.85" thickBot="1" x14ac:dyDescent="0.35">
      <c r="A84" s="14"/>
      <c r="B84" s="14"/>
      <c r="C84" s="14"/>
      <c r="D84" s="14"/>
    </row>
    <row r="85" spans="1:4" ht="17.850000000000001" thickBot="1" x14ac:dyDescent="0.3">
      <c r="A85" s="6" t="s">
        <v>14</v>
      </c>
      <c r="B85" s="7">
        <v>7</v>
      </c>
      <c r="C85" s="17"/>
      <c r="D85" s="85"/>
    </row>
    <row r="86" spans="1:4" ht="23.6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3.25" thickBot="1" x14ac:dyDescent="0.3">
      <c r="A96" s="3"/>
      <c r="B96" s="3"/>
      <c r="C96" s="11"/>
      <c r="D96" s="11"/>
    </row>
    <row r="97" spans="1:4" ht="13.25" thickBot="1" x14ac:dyDescent="0.3">
      <c r="A97" s="12" t="s">
        <v>22</v>
      </c>
      <c r="B97" s="12">
        <f>SUM(B87:B96)</f>
        <v>0</v>
      </c>
      <c r="C97" s="104" t="s">
        <v>38</v>
      </c>
      <c r="D97" s="13"/>
    </row>
    <row r="98" spans="1:4" ht="13.85" thickBot="1" x14ac:dyDescent="0.35">
      <c r="A98" s="14"/>
      <c r="B98" s="14"/>
      <c r="C98" s="14"/>
      <c r="D98" s="14"/>
    </row>
    <row r="99" spans="1:4" ht="17.850000000000001" thickBot="1" x14ac:dyDescent="0.3">
      <c r="A99" s="6" t="s">
        <v>14</v>
      </c>
      <c r="B99" s="7">
        <v>8</v>
      </c>
      <c r="C99" s="17"/>
      <c r="D99" s="85"/>
    </row>
    <row r="100" spans="1:4" ht="23.6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3.25" thickBot="1" x14ac:dyDescent="0.3">
      <c r="A110" s="3"/>
      <c r="B110" s="3"/>
      <c r="C110" s="11"/>
      <c r="D110" s="11"/>
    </row>
    <row r="111" spans="1:4" ht="13.25" thickBot="1" x14ac:dyDescent="0.3">
      <c r="A111" s="12" t="s">
        <v>22</v>
      </c>
      <c r="B111" s="12">
        <f>SUM(B101:B110)</f>
        <v>0</v>
      </c>
      <c r="C111" s="104" t="s">
        <v>38</v>
      </c>
      <c r="D111" s="13"/>
    </row>
    <row r="112" spans="1:4" ht="13.25" x14ac:dyDescent="0.3">
      <c r="A112" s="14"/>
      <c r="B112" s="14"/>
      <c r="C112" s="14"/>
      <c r="D112" s="14"/>
    </row>
    <row r="113" spans="1:1" x14ac:dyDescent="0.25">
      <c r="A113" s="105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H36"/>
  <sheetViews>
    <sheetView workbookViewId="0">
      <selection activeCell="C28" sqref="C28"/>
    </sheetView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42" t="s">
        <v>14</v>
      </c>
      <c r="B1" s="43">
        <v>1</v>
      </c>
      <c r="C1" s="44" t="s">
        <v>23</v>
      </c>
      <c r="D1" s="53"/>
    </row>
    <row r="2" spans="1:4" ht="23.6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.25" thickBot="1" x14ac:dyDescent="0.3">
      <c r="A17" s="3"/>
      <c r="B17" s="3"/>
      <c r="C17" s="11"/>
      <c r="D17" s="11"/>
    </row>
    <row r="18" spans="1:8" ht="13.25" thickBot="1" x14ac:dyDescent="0.3">
      <c r="A18" s="47" t="s">
        <v>22</v>
      </c>
      <c r="B18" s="47">
        <f>SUM(B3:B17)</f>
        <v>0</v>
      </c>
      <c r="C18" s="48"/>
      <c r="D18" s="48"/>
    </row>
    <row r="19" spans="1:8" ht="13.25" x14ac:dyDescent="0.3">
      <c r="A19" s="49"/>
      <c r="B19" s="49"/>
      <c r="C19" s="49"/>
      <c r="D19" s="49"/>
    </row>
    <row r="25" spans="1:8" ht="12.85" customHeight="1" x14ac:dyDescent="0.25">
      <c r="A25" s="30"/>
      <c r="B25" s="31"/>
      <c r="C25" s="32"/>
      <c r="D25" s="33"/>
      <c r="F25" s="31"/>
      <c r="G25" s="32"/>
      <c r="H25" s="33"/>
    </row>
    <row r="26" spans="1:8" ht="15.5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3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H153"/>
  <sheetViews>
    <sheetView tabSelected="1" topLeftCell="A128" workbookViewId="0">
      <selection activeCell="D138" sqref="D138"/>
    </sheetView>
  </sheetViews>
  <sheetFormatPr defaultColWidth="11.44140625" defaultRowHeight="12.7" x14ac:dyDescent="0.25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7.850000000000001" thickBot="1" x14ac:dyDescent="0.3">
      <c r="A1" s="42" t="s">
        <v>14</v>
      </c>
      <c r="B1" s="43">
        <v>1</v>
      </c>
      <c r="C1" s="44" t="s">
        <v>23</v>
      </c>
      <c r="D1" s="53">
        <f>Donnees!$C$9</f>
        <v>45602</v>
      </c>
    </row>
    <row r="2" spans="1:4" ht="23.6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28</v>
      </c>
      <c r="B3" s="4">
        <v>12</v>
      </c>
      <c r="C3" s="107" t="s">
        <v>40</v>
      </c>
      <c r="D3" s="9"/>
    </row>
    <row r="4" spans="1:4" s="52" customFormat="1" x14ac:dyDescent="0.25">
      <c r="A4" s="1"/>
      <c r="B4" s="2"/>
      <c r="C4" s="108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3.25" thickBot="1" x14ac:dyDescent="0.3">
      <c r="A17" s="3"/>
      <c r="B17" s="3"/>
      <c r="C17" s="11"/>
      <c r="D17" s="11"/>
    </row>
    <row r="18" spans="1:8" ht="13.25" thickBot="1" x14ac:dyDescent="0.3">
      <c r="A18" s="47" t="s">
        <v>22</v>
      </c>
      <c r="B18" s="47">
        <f>SUM(B3:B17)</f>
        <v>12</v>
      </c>
      <c r="C18" s="106" t="s">
        <v>38</v>
      </c>
      <c r="D18" s="48"/>
    </row>
    <row r="19" spans="1:8" ht="13.85" thickBot="1" x14ac:dyDescent="0.35">
      <c r="A19" s="49"/>
      <c r="B19" s="49"/>
      <c r="C19" s="49"/>
      <c r="D19" s="49"/>
    </row>
    <row r="20" spans="1:8" ht="17.850000000000001" thickBot="1" x14ac:dyDescent="0.3">
      <c r="A20" s="42" t="s">
        <v>14</v>
      </c>
      <c r="B20" s="43">
        <v>2</v>
      </c>
      <c r="C20" s="44" t="s">
        <v>23</v>
      </c>
      <c r="D20" s="53">
        <f>$D$1+7</f>
        <v>45609</v>
      </c>
    </row>
    <row r="21" spans="1:8" ht="23.6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28</v>
      </c>
      <c r="B22" s="4">
        <v>6</v>
      </c>
      <c r="C22" s="107" t="s">
        <v>41</v>
      </c>
      <c r="D22" s="9"/>
    </row>
    <row r="23" spans="1:8" x14ac:dyDescent="0.25">
      <c r="A23" s="1" t="s">
        <v>28</v>
      </c>
      <c r="B23" s="2">
        <v>2</v>
      </c>
      <c r="C23" s="108" t="s">
        <v>42</v>
      </c>
      <c r="D23" s="10"/>
    </row>
    <row r="24" spans="1:8" x14ac:dyDescent="0.25">
      <c r="A24" s="1" t="s">
        <v>28</v>
      </c>
      <c r="B24" s="2">
        <v>2</v>
      </c>
      <c r="C24" s="108" t="s">
        <v>43</v>
      </c>
      <c r="D24" s="10"/>
    </row>
    <row r="25" spans="1:8" ht="12.85" customHeight="1" x14ac:dyDescent="0.25">
      <c r="A25" s="1" t="s">
        <v>28</v>
      </c>
      <c r="B25" s="2">
        <v>2</v>
      </c>
      <c r="C25" s="108" t="s">
        <v>44</v>
      </c>
      <c r="D25" s="10"/>
      <c r="F25" s="31"/>
      <c r="G25" s="32"/>
      <c r="H25" s="33"/>
    </row>
    <row r="26" spans="1:8" ht="15.5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3.85" thickBot="1" x14ac:dyDescent="0.35">
      <c r="A36" s="3"/>
      <c r="B36" s="3"/>
      <c r="C36" s="11"/>
      <c r="D36" s="11"/>
      <c r="F36" s="40"/>
      <c r="G36" s="40"/>
      <c r="H36" s="40"/>
    </row>
    <row r="37" spans="1:8" ht="13.25" thickBot="1" x14ac:dyDescent="0.3">
      <c r="A37" s="47" t="s">
        <v>22</v>
      </c>
      <c r="B37" s="47">
        <f>SUM(B22:B36)</f>
        <v>12</v>
      </c>
      <c r="C37" s="106" t="s">
        <v>38</v>
      </c>
      <c r="D37" s="48"/>
    </row>
    <row r="38" spans="1:8" ht="13.85" thickBot="1" x14ac:dyDescent="0.35">
      <c r="A38" s="49"/>
      <c r="B38" s="49"/>
      <c r="C38" s="49"/>
      <c r="D38" s="49"/>
    </row>
    <row r="39" spans="1:8" ht="17.850000000000001" thickBot="1" x14ac:dyDescent="0.3">
      <c r="A39" s="42" t="s">
        <v>14</v>
      </c>
      <c r="B39" s="43">
        <v>3</v>
      </c>
      <c r="C39" s="44" t="s">
        <v>23</v>
      </c>
      <c r="D39" s="53">
        <f>$D$20+7</f>
        <v>45616</v>
      </c>
    </row>
    <row r="40" spans="1:8" ht="23.6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6</v>
      </c>
      <c r="C41" s="107" t="s">
        <v>45</v>
      </c>
      <c r="D41" s="9"/>
    </row>
    <row r="42" spans="1:8" x14ac:dyDescent="0.25">
      <c r="A42" s="1" t="s">
        <v>28</v>
      </c>
      <c r="B42" s="2">
        <v>4</v>
      </c>
      <c r="C42" s="108" t="s">
        <v>46</v>
      </c>
      <c r="D42" s="10"/>
    </row>
    <row r="43" spans="1:8" x14ac:dyDescent="0.25">
      <c r="A43" s="1" t="s">
        <v>29</v>
      </c>
      <c r="B43" s="2">
        <v>2</v>
      </c>
      <c r="C43" s="108" t="s">
        <v>47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3.25" thickBot="1" x14ac:dyDescent="0.3">
      <c r="A55" s="3"/>
      <c r="B55" s="3"/>
      <c r="C55" s="11"/>
      <c r="D55" s="11"/>
    </row>
    <row r="56" spans="1:4" ht="13.25" thickBot="1" x14ac:dyDescent="0.3">
      <c r="A56" s="47" t="s">
        <v>22</v>
      </c>
      <c r="B56" s="47">
        <f>SUM(B41:B55)</f>
        <v>12</v>
      </c>
      <c r="C56" s="106" t="s">
        <v>38</v>
      </c>
      <c r="D56" s="48"/>
    </row>
    <row r="57" spans="1:4" ht="13.85" thickBot="1" x14ac:dyDescent="0.35">
      <c r="A57" s="49"/>
      <c r="B57" s="49"/>
      <c r="C57" s="49"/>
      <c r="D57" s="49"/>
    </row>
    <row r="58" spans="1:4" ht="17.850000000000001" thickBot="1" x14ac:dyDescent="0.3">
      <c r="A58" s="42" t="s">
        <v>14</v>
      </c>
      <c r="B58" s="43">
        <v>4</v>
      </c>
      <c r="C58" s="44" t="s">
        <v>23</v>
      </c>
      <c r="D58" s="53">
        <f>$D$39+7</f>
        <v>45623</v>
      </c>
    </row>
    <row r="59" spans="1:4" ht="23.6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21</v>
      </c>
      <c r="B60" s="4">
        <v>8</v>
      </c>
      <c r="C60" s="107" t="s">
        <v>48</v>
      </c>
      <c r="D60" s="9"/>
    </row>
    <row r="61" spans="1:4" x14ac:dyDescent="0.25">
      <c r="A61" s="1" t="s">
        <v>28</v>
      </c>
      <c r="B61" s="2">
        <v>2</v>
      </c>
      <c r="C61" s="108" t="s">
        <v>49</v>
      </c>
      <c r="D61" s="10"/>
    </row>
    <row r="62" spans="1:4" x14ac:dyDescent="0.25">
      <c r="A62" s="1" t="s">
        <v>28</v>
      </c>
      <c r="B62" s="2">
        <v>2</v>
      </c>
      <c r="C62" s="108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3.25" thickBot="1" x14ac:dyDescent="0.3">
      <c r="A74" s="3"/>
      <c r="B74" s="3"/>
      <c r="C74" s="11"/>
      <c r="D74" s="11"/>
    </row>
    <row r="75" spans="1:4" ht="13.25" thickBot="1" x14ac:dyDescent="0.3">
      <c r="A75" s="47" t="s">
        <v>22</v>
      </c>
      <c r="B75" s="47">
        <f>SUM(B60:B74)</f>
        <v>12</v>
      </c>
      <c r="C75" s="106" t="s">
        <v>38</v>
      </c>
      <c r="D75" s="48"/>
    </row>
    <row r="76" spans="1:4" ht="13.85" thickBot="1" x14ac:dyDescent="0.35">
      <c r="A76" s="49"/>
      <c r="B76" s="49"/>
      <c r="C76" s="49"/>
      <c r="D76" s="49"/>
    </row>
    <row r="77" spans="1:4" ht="17.850000000000001" thickBot="1" x14ac:dyDescent="0.3">
      <c r="A77" s="42" t="s">
        <v>14</v>
      </c>
      <c r="B77" s="43">
        <v>5</v>
      </c>
      <c r="C77" s="44" t="s">
        <v>23</v>
      </c>
      <c r="D77" s="53">
        <f>$D$58+7</f>
        <v>45630</v>
      </c>
    </row>
    <row r="78" spans="1:4" ht="23.6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5.35" x14ac:dyDescent="0.25">
      <c r="A79" s="5" t="s">
        <v>28</v>
      </c>
      <c r="B79" s="4">
        <v>6</v>
      </c>
      <c r="C79" s="107" t="s">
        <v>51</v>
      </c>
      <c r="D79" s="9"/>
    </row>
    <row r="80" spans="1:4" ht="25.35" x14ac:dyDescent="0.25">
      <c r="A80" s="1" t="s">
        <v>28</v>
      </c>
      <c r="B80" s="2">
        <v>4</v>
      </c>
      <c r="C80" s="108" t="s">
        <v>52</v>
      </c>
      <c r="D80" s="10"/>
    </row>
    <row r="81" spans="1:4" x14ac:dyDescent="0.25">
      <c r="A81" s="1" t="s">
        <v>29</v>
      </c>
      <c r="B81" s="2">
        <v>2</v>
      </c>
      <c r="C81" s="108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3.25" thickBot="1" x14ac:dyDescent="0.3">
      <c r="A93" s="3"/>
      <c r="B93" s="3"/>
      <c r="C93" s="11"/>
      <c r="D93" s="11"/>
    </row>
    <row r="94" spans="1:4" ht="13.25" thickBot="1" x14ac:dyDescent="0.3">
      <c r="A94" s="47" t="s">
        <v>22</v>
      </c>
      <c r="B94" s="47">
        <f>SUM(B79:B93)</f>
        <v>12</v>
      </c>
      <c r="C94" s="106" t="s">
        <v>38</v>
      </c>
      <c r="D94" s="48"/>
    </row>
    <row r="95" spans="1:4" ht="13.85" thickBot="1" x14ac:dyDescent="0.35">
      <c r="A95" s="49"/>
      <c r="B95" s="49"/>
      <c r="C95" s="49"/>
      <c r="D95" s="49"/>
    </row>
    <row r="96" spans="1:4" ht="17.850000000000001" thickBot="1" x14ac:dyDescent="0.3">
      <c r="A96" s="42" t="s">
        <v>14</v>
      </c>
      <c r="B96" s="43">
        <v>6</v>
      </c>
      <c r="C96" s="44" t="s">
        <v>23</v>
      </c>
      <c r="D96" s="53">
        <f>$D$77+7</f>
        <v>45637</v>
      </c>
    </row>
    <row r="97" spans="1:4" ht="23.6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28</v>
      </c>
      <c r="B98" s="4">
        <v>5</v>
      </c>
      <c r="C98" s="107" t="s">
        <v>54</v>
      </c>
      <c r="D98" s="9"/>
    </row>
    <row r="99" spans="1:4" x14ac:dyDescent="0.25">
      <c r="A99" s="1" t="s">
        <v>28</v>
      </c>
      <c r="B99" s="2">
        <v>6</v>
      </c>
      <c r="C99" s="108" t="s">
        <v>55</v>
      </c>
      <c r="D99" s="10"/>
    </row>
    <row r="100" spans="1:4" x14ac:dyDescent="0.25">
      <c r="A100" s="1" t="s">
        <v>29</v>
      </c>
      <c r="B100" s="2">
        <v>1</v>
      </c>
      <c r="C100" s="108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3.25" thickBot="1" x14ac:dyDescent="0.3">
      <c r="A112" s="3"/>
      <c r="B112" s="3"/>
      <c r="C112" s="11"/>
      <c r="D112" s="11"/>
    </row>
    <row r="113" spans="1:4" ht="13.25" thickBot="1" x14ac:dyDescent="0.3">
      <c r="A113" s="47" t="s">
        <v>22</v>
      </c>
      <c r="B113" s="47">
        <f>SUM(B98:B112)</f>
        <v>12</v>
      </c>
      <c r="C113" s="106" t="s">
        <v>38</v>
      </c>
      <c r="D113" s="48"/>
    </row>
    <row r="114" spans="1:4" ht="13.85" thickBot="1" x14ac:dyDescent="0.35">
      <c r="A114" s="49"/>
      <c r="B114" s="49"/>
      <c r="C114" s="49"/>
      <c r="D114" s="49"/>
    </row>
    <row r="115" spans="1:4" ht="17.850000000000001" thickBot="1" x14ac:dyDescent="0.3">
      <c r="A115" s="42" t="s">
        <v>14</v>
      </c>
      <c r="B115" s="43">
        <v>7</v>
      </c>
      <c r="C115" s="44" t="s">
        <v>23</v>
      </c>
      <c r="D115" s="53">
        <f>$D$96+7</f>
        <v>45644</v>
      </c>
    </row>
    <row r="116" spans="1:4" ht="23.6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28</v>
      </c>
      <c r="B117" s="4">
        <v>3</v>
      </c>
      <c r="C117" s="107" t="s">
        <v>57</v>
      </c>
      <c r="D117" s="9"/>
    </row>
    <row r="118" spans="1:4" x14ac:dyDescent="0.25">
      <c r="A118" s="1" t="s">
        <v>28</v>
      </c>
      <c r="B118" s="2">
        <v>2</v>
      </c>
      <c r="C118" s="108" t="s">
        <v>58</v>
      </c>
      <c r="D118" s="10"/>
    </row>
    <row r="119" spans="1:4" x14ac:dyDescent="0.25">
      <c r="A119" s="1" t="s">
        <v>28</v>
      </c>
      <c r="B119" s="2">
        <v>7</v>
      </c>
      <c r="C119" s="108" t="s">
        <v>59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3.25" thickBot="1" x14ac:dyDescent="0.3">
      <c r="A131" s="3"/>
      <c r="B131" s="3"/>
      <c r="C131" s="11"/>
      <c r="D131" s="11"/>
    </row>
    <row r="132" spans="1:4" ht="13.25" thickBot="1" x14ac:dyDescent="0.3">
      <c r="A132" s="47" t="s">
        <v>22</v>
      </c>
      <c r="B132" s="47">
        <f>SUM(B117:B131)</f>
        <v>12</v>
      </c>
      <c r="C132" s="106" t="s">
        <v>38</v>
      </c>
      <c r="D132" s="48"/>
    </row>
    <row r="133" spans="1:4" ht="13.85" thickBot="1" x14ac:dyDescent="0.35">
      <c r="A133" s="49"/>
      <c r="B133" s="49"/>
      <c r="C133" s="49"/>
      <c r="D133" s="49"/>
    </row>
    <row r="134" spans="1:4" ht="17.850000000000001" thickBot="1" x14ac:dyDescent="0.3">
      <c r="A134" s="42" t="s">
        <v>14</v>
      </c>
      <c r="B134" s="43">
        <v>8</v>
      </c>
      <c r="C134" s="44" t="s">
        <v>23</v>
      </c>
      <c r="D134" s="53">
        <f>$D$115+7</f>
        <v>45651</v>
      </c>
    </row>
    <row r="135" spans="1:4" ht="23.6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29</v>
      </c>
      <c r="B136" s="4">
        <v>2</v>
      </c>
      <c r="C136" s="107" t="s">
        <v>61</v>
      </c>
      <c r="D136" s="107" t="s">
        <v>62</v>
      </c>
    </row>
    <row r="137" spans="1:4" x14ac:dyDescent="0.25">
      <c r="A137" s="1" t="s">
        <v>29</v>
      </c>
      <c r="B137" s="2">
        <v>2</v>
      </c>
      <c r="C137" s="108" t="s">
        <v>63</v>
      </c>
      <c r="D137" s="119" t="s">
        <v>67</v>
      </c>
    </row>
    <row r="138" spans="1:4" ht="25.35" x14ac:dyDescent="0.25">
      <c r="A138" s="1"/>
      <c r="B138" s="2">
        <v>1</v>
      </c>
      <c r="C138" s="108" t="s">
        <v>60</v>
      </c>
      <c r="D138" s="10"/>
    </row>
    <row r="139" spans="1:4" ht="25.35" x14ac:dyDescent="0.25">
      <c r="A139" s="1" t="s">
        <v>28</v>
      </c>
      <c r="B139" s="2">
        <v>2</v>
      </c>
      <c r="C139" s="108" t="s">
        <v>64</v>
      </c>
      <c r="D139" s="10"/>
    </row>
    <row r="140" spans="1:4" ht="25.35" x14ac:dyDescent="0.25">
      <c r="A140" s="1" t="s">
        <v>28</v>
      </c>
      <c r="B140" s="2">
        <v>3</v>
      </c>
      <c r="C140" s="108" t="s">
        <v>65</v>
      </c>
      <c r="D140" s="10"/>
    </row>
    <row r="141" spans="1:4" x14ac:dyDescent="0.25">
      <c r="A141" s="1" t="s">
        <v>29</v>
      </c>
      <c r="B141" s="2">
        <v>2</v>
      </c>
      <c r="C141" s="108" t="s">
        <v>66</v>
      </c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3.25" thickBot="1" x14ac:dyDescent="0.3">
      <c r="A150" s="3"/>
      <c r="B150" s="3"/>
      <c r="C150" s="11"/>
      <c r="D150" s="11"/>
    </row>
    <row r="151" spans="1:4" ht="13.25" thickBot="1" x14ac:dyDescent="0.3">
      <c r="A151" s="47" t="s">
        <v>22</v>
      </c>
      <c r="B151" s="47">
        <f>SUM(B136:B150)</f>
        <v>12</v>
      </c>
      <c r="C151" s="106" t="s">
        <v>38</v>
      </c>
      <c r="D151" s="48"/>
    </row>
    <row r="152" spans="1:4" ht="13.25" x14ac:dyDescent="0.3">
      <c r="A152" s="49"/>
      <c r="B152" s="49"/>
      <c r="C152" s="49"/>
      <c r="D152" s="49"/>
    </row>
    <row r="153" spans="1:4" x14ac:dyDescent="0.25">
      <c r="A153" s="105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7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0000000-0002-0000-07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0000000-0002-0000-0700-00000200000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0000000-0002-0000-07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592531</xdr:colOff>
                <xdr:row>0</xdr:row>
                <xdr:rowOff>182880</xdr:rowOff>
              </from>
              <to>
                <xdr:col>7</xdr:col>
                <xdr:colOff>256032</xdr:colOff>
                <xdr:row>2</xdr:row>
                <xdr:rowOff>153619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Alex Julien Segalen</cp:lastModifiedBy>
  <cp:lastPrinted>2013-08-29T11:33:15Z</cp:lastPrinted>
  <dcterms:created xsi:type="dcterms:W3CDTF">1996-10-21T11:03:58Z</dcterms:created>
  <dcterms:modified xsi:type="dcterms:W3CDTF">2025-01-09T17:23:22Z</dcterms:modified>
</cp:coreProperties>
</file>